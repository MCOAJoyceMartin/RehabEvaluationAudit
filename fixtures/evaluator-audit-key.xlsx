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mmcoallc-my.sharepoint.com/personal/joyce_mcoa_health/Documents/IMPACT/IMPACT_AI/Rehab/"/>
    </mc:Choice>
  </mc:AlternateContent>
  <xr:revisionPtr revIDLastSave="0" documentId="8_{2BB9367C-E8E7-455F-8CC9-FE8227842ADD}" xr6:coauthVersionLast="47" xr6:coauthVersionMax="47" xr10:uidLastSave="{00000000-0000-0000-0000-000000000000}"/>
  <bookViews>
    <workbookView xWindow="-96" yWindow="-96" windowWidth="23232" windowHeight="13872" activeTab="2" xr2:uid="{00000000-000D-0000-FFFF-FFFF00000000}"/>
  </bookViews>
  <sheets>
    <sheet name="Evaluator Audit 1" sheetId="9" r:id="rId1"/>
    <sheet name="Evaluator Audit 2" sheetId="8" r:id="rId2"/>
    <sheet name="Evaluator Audit 3" sheetId="7" r:id="rId3"/>
    <sheet name="key" sheetId="1"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0" i="9" l="1"/>
  <c r="D40" i="9"/>
  <c r="E40" i="8"/>
  <c r="D40" i="8"/>
  <c r="I6" i="8" l="1"/>
  <c r="I6" i="9"/>
  <c r="E40" i="7"/>
  <c r="D40" i="7"/>
  <c r="I6" i="7" l="1"/>
  <c r="E42" i="1"/>
  <c r="D42" i="1" l="1"/>
  <c r="I6" i="1" s="1"/>
</calcChain>
</file>

<file path=xl/sharedStrings.xml><?xml version="1.0" encoding="utf-8"?>
<sst xmlns="http://schemas.openxmlformats.org/spreadsheetml/2006/main" count="468" uniqueCount="138">
  <si>
    <t>Question</t>
  </si>
  <si>
    <t>Total Points Earned</t>
  </si>
  <si>
    <t>category opportunity</t>
  </si>
  <si>
    <t>Patient:</t>
  </si>
  <si>
    <t>Jane Doe</t>
  </si>
  <si>
    <t>Evaluation medical review</t>
  </si>
  <si>
    <t>Contains medical history</t>
  </si>
  <si>
    <t>Contains Medications list</t>
  </si>
  <si>
    <t>Date Range:</t>
  </si>
  <si>
    <t>Completed Timely</t>
  </si>
  <si>
    <t xml:space="preserve">Health Status/Reason for Referral </t>
  </si>
  <si>
    <t>Objective Tests/ Standardized Test</t>
  </si>
  <si>
    <t>Therapist Assessment</t>
  </si>
  <si>
    <t>Orders in PCC</t>
  </si>
  <si>
    <t>Medical Necessity</t>
  </si>
  <si>
    <t>Assessment Summary</t>
  </si>
  <si>
    <t>Plan of Care/ Treatment</t>
  </si>
  <si>
    <t>LTG Justification</t>
  </si>
  <si>
    <t>STG Appropriate and within LTG</t>
  </si>
  <si>
    <t>Progress Notes</t>
  </si>
  <si>
    <t>Patient's Response to Treatment</t>
  </si>
  <si>
    <t>Modifications in the POC</t>
  </si>
  <si>
    <t xml:space="preserve">Treatment frequency </t>
  </si>
  <si>
    <t>Daily Notes</t>
  </si>
  <si>
    <t>Patient response to treatment</t>
  </si>
  <si>
    <t>Treatment Strategies reflect progression/skill</t>
  </si>
  <si>
    <t>Reflects attendance/Compliance</t>
  </si>
  <si>
    <t>Caregiver Education</t>
  </si>
  <si>
    <t>Linked to specfic Goals</t>
  </si>
  <si>
    <t>Discontinued when goal met</t>
  </si>
  <si>
    <t>Recertification</t>
  </si>
  <si>
    <t>LTG's are Justified</t>
  </si>
  <si>
    <t>STGs are appropriate</t>
  </si>
  <si>
    <t>Treatment or Modifications relevant to impairment</t>
  </si>
  <si>
    <t>Treatment Related to goals</t>
  </si>
  <si>
    <t>Amount/Freq/Duration</t>
  </si>
  <si>
    <t>Justification for continued services</t>
  </si>
  <si>
    <t>orders in PCC</t>
  </si>
  <si>
    <t>Discharge Summary</t>
  </si>
  <si>
    <t>All Goals addressed</t>
  </si>
  <si>
    <t>Reason for Discharge</t>
  </si>
  <si>
    <t>Total</t>
  </si>
  <si>
    <t>Document</t>
  </si>
  <si>
    <t>Comment</t>
  </si>
  <si>
    <t>Comprehensive medical history should help justifiy need for services and show change ("see chart" is not acceptable and automatic 0)</t>
  </si>
  <si>
    <t>List medications that could affect treatment. (See MAR is not acceptable and automatic 0)</t>
  </si>
  <si>
    <t>Same day = 3, within 24 hours =2, within 48 hours = 1, all greater = 0</t>
  </si>
  <si>
    <t>Reason for referral needs to show change, falls reported must be in PCC, and must coincide with diagnosis used</t>
  </si>
  <si>
    <t>appropriate test =3, everything else =0</t>
  </si>
  <si>
    <t>Was there a change from PLOF to CLOF that is noted? Was there pain noted in pain assessment that correlates with goals and diagnosis? Is it documented by nursing in PCC</t>
  </si>
  <si>
    <t>yes = 3 no = 0</t>
  </si>
  <si>
    <t>Documentation shows reason services are needed and supported with diagnosis and change in status</t>
  </si>
  <si>
    <t xml:space="preserve">Clinical impressions, reason for skilled services and risk factors resummarize justification of services along with any recent falls documented in PCC and change in functional levels. </t>
  </si>
  <si>
    <t>Long term goals are greater than CLOF and are supported by CPT/diagnosis codes and reason for referral</t>
  </si>
  <si>
    <t>Short term goals are appropriate and function inside corresponding Long term goals</t>
  </si>
  <si>
    <t>Same day = 3, within 24 hrs = 2,  same week = 1 anything greater = 0</t>
  </si>
  <si>
    <t>Comments should be added for all goals without progress to justify continuated services. ("patient ill hindering participation this week") Barriers should be summarized in progress section of assessment</t>
  </si>
  <si>
    <t>All short term goals have progress or comments explaining barriers. All Long term goals have Current status with short term goals acheivable within the Long term goal.</t>
  </si>
  <si>
    <t xml:space="preserve">Treatment was provided the frequency set by original eval, recert or in accordance with an addendum. Patient refusals are entered on dates that patient was scheduled and chose to not participate with services. </t>
  </si>
  <si>
    <t>Drop downs either not used or supported by patient specific responses to treatment. These should not be repetitive.</t>
  </si>
  <si>
    <t>Documentation of skilled services must inlcude measureable and objective information (reps, sets, level of assistance device, %, etc.) as well as specific strategies used to progress the patient within the protocol in order to show progresion towards established goals in the POC.</t>
  </si>
  <si>
    <t xml:space="preserve">missed visit entered for all scheudled treatments that aren't completed. Communication of missed visit and rescheudling of treatment must be attempted if allowable by days left in the week. </t>
  </si>
  <si>
    <t>Caregiver or patient education documented without repetition to address barriers and discharge readiness.</t>
  </si>
  <si>
    <t>Treatment provided is linked to a specific goal and within the POC and billed to correct CPT code.</t>
  </si>
  <si>
    <t>CPT codes billed are working towards an unmet goal within the POC.  (gait training after long term gait goal has been reached and not updated)</t>
  </si>
  <si>
    <t>Long term goals are greater than CLOF and are supported by CPT, diagnosis codes and reason for referral. Goals should be updated or discontinued once met.</t>
  </si>
  <si>
    <t xml:space="preserve">Modifications are made that are in line with reason for referral and original POC that help justify continuation of treatment. </t>
  </si>
  <si>
    <t>Frequency updated to reflect services provided over evaluation covered dates. If the frequency is changed justification is required in the continued skill section of justification of continued services.</t>
  </si>
  <si>
    <t xml:space="preserve">Summary of assessment levels including barriers preventing progress, changes since evaluation, difference betwee PLOF and CLOF, and standardized test scores. A breif summary of a functional outcome expected and why it is needed as a result of skilled intervention. </t>
  </si>
  <si>
    <t>Have all short and long term goals been addressed and justification for goals not met</t>
  </si>
  <si>
    <t>If d/c to home caregiver education and patients status for safe d/c clear. If long term reason for d/c clearly present</t>
  </si>
  <si>
    <t xml:space="preserve">document completed timely </t>
  </si>
  <si>
    <t>Audit Completed By:</t>
  </si>
  <si>
    <t>Documenting Therapist:</t>
  </si>
  <si>
    <t>1/22-2/22</t>
  </si>
  <si>
    <t>Evaluation</t>
  </si>
  <si>
    <t>Total:</t>
  </si>
  <si>
    <t>Scoring example</t>
  </si>
  <si>
    <t>0= not present,           1= limited examples                                          2= Typically Present,       3= Always Present</t>
  </si>
  <si>
    <t>Point breakdown based on frequency present and quality</t>
  </si>
  <si>
    <t>Same day = 3,     next day =2,                                                          2 days = 1,        &gt;48 hrs = 0</t>
  </si>
  <si>
    <t>If Document doesn't apply</t>
  </si>
  <si>
    <t>If the document doesn't apply such as the case when a patient doesn't is still on caseload and doesn't have a D/C due or was discharged prior to a recert being due change the points earned and opportunity scores to an x.</t>
  </si>
  <si>
    <t>x</t>
  </si>
  <si>
    <t>Georgia Thomas</t>
  </si>
  <si>
    <t>5/19-6/13/25</t>
  </si>
  <si>
    <t>5/20, completed 5/21</t>
  </si>
  <si>
    <t>GLF with L Femur Fx</t>
  </si>
  <si>
    <t>Barthel 3/20</t>
  </si>
  <si>
    <t>Med and Tx DX: M62.81; UHC Authorized DX and Primary DX Code in PCC on the MDS was: S72.142D - why did we not code? Why did we not correct after Triple Check?</t>
  </si>
  <si>
    <t>3 PNs - 5/26 completed same day, 6/2 completed 6/5, 6/9 completed 6/13</t>
  </si>
  <si>
    <t>6x/wk</t>
  </si>
  <si>
    <t>1 missed visit, with documentation</t>
  </si>
  <si>
    <t>Discrepancy on DC document - "discharged to hosptial" and "patient received discharge notice from insurance company…discharge home with daughter and HH services"; PCC states patient was sent to ER per daughter's request</t>
  </si>
  <si>
    <t>6/13, completed 6/19</t>
  </si>
  <si>
    <t>Hospital</t>
  </si>
  <si>
    <t>Unexpected DC to hospital</t>
  </si>
  <si>
    <t>Varies in most TENs; patient specific responses included</t>
  </si>
  <si>
    <t xml:space="preserve">Patient "instruction" included, but no patient or caregiver education documented </t>
  </si>
  <si>
    <t>NA- goal that was met was upgraded</t>
  </si>
  <si>
    <t>Barriers should be summarized under Patient Progress in Assessment section; drop down phrase utilized without patient specific response</t>
  </si>
  <si>
    <t>Jana Peden, OTR (Eval, PN #2, TENs, DC); Kourtney Humes, OTR (PN #1)</t>
  </si>
  <si>
    <t>Comments should be added to STGs without progress noted; some goals marked met/upgraded across both PNs</t>
  </si>
  <si>
    <t>William Zerwer</t>
  </si>
  <si>
    <t>6/4-6/29/25</t>
  </si>
  <si>
    <t>6/11, completed same day</t>
  </si>
  <si>
    <t>"Refer to chart"</t>
  </si>
  <si>
    <t>ACL, FOIS</t>
  </si>
  <si>
    <t>Hospitilization - AMS</t>
  </si>
  <si>
    <t>Eval completed/signed for 3x/wk; PN completed 6/22 with freq change to 4x/wk - no clarification order in PCC for 6/22 with change in freq. PNs do not get sent, signed, or certifying by MD - recert required when changing frequency.</t>
  </si>
  <si>
    <t>Initial Eval with clarification order in PCC written for 3x/wk. Pt received 4 treatments the week of 6/11-6/17, and 4 treatments the week of 6/18-6/24; no missed visits</t>
  </si>
  <si>
    <t>home on hospice</t>
  </si>
  <si>
    <t>6/29, completed 6/30</t>
  </si>
  <si>
    <t>NA</t>
  </si>
  <si>
    <t>X</t>
  </si>
  <si>
    <t>Patient education documented</t>
  </si>
  <si>
    <t>Comments included within CPT; consider documenting patient's response under Response to Tx section</t>
  </si>
  <si>
    <t>Clarification order for 3x/wk dated 6/11/25 in PCC</t>
  </si>
  <si>
    <t>Comments should be added to goals without progress documented, to justify continuation of services; PN#2 shows change in frequency but does not include clarification order. If order not written, Recert should have been completed</t>
  </si>
  <si>
    <t>3 PNs - 6/15 ompleted 6/17, 6/22 completed 6/23, 6/29 completed same day it was due</t>
  </si>
  <si>
    <t>Barriers should be summarized in Patient Progress section under Assesment; canned phrases included without patient specific responses added</t>
  </si>
  <si>
    <t>Sylvia Castillo, SLP (eval), Brianna McBride, SLP (TENs, PNs, DC)</t>
  </si>
  <si>
    <t>5/14, completed 5/15</t>
  </si>
  <si>
    <t>Verapamil</t>
  </si>
  <si>
    <t>Sitting Balance = NT</t>
  </si>
  <si>
    <t>Clarification order 6x/wk</t>
  </si>
  <si>
    <t>5/21, completed 6/2</t>
  </si>
  <si>
    <t>Deepika Meka, PT (eval, PN, DC); Vishal Bhavnagari, PT (TENs)</t>
  </si>
  <si>
    <t>5/27, completed 6/2</t>
  </si>
  <si>
    <t>Per physician case manager</t>
  </si>
  <si>
    <t>No documented missed visits, however, patient not seen (or left off schedule?) between 5/21-5/24.</t>
  </si>
  <si>
    <t xml:space="preserve">POC written for 6x/wk but only seen 5x during first week; seen 3x during second week </t>
  </si>
  <si>
    <t>5/25 and 5/26 TENs from V. Bhavnagari are copy/pasted (and eSigned late at night - was he on the clock at this time?); most other TENs are completed by PTAs; encourage all clinicians to include what they provided/modified/guided, etc. to denote skilled interventions. There is a lot of "patient completed" or "patient utilized Nu Step"</t>
  </si>
  <si>
    <t>Varies amongst all clinicians on record; M. Sanchez with the most variation and patient specific responses; other clinicians used canned phrases and are repetitive, without the addition of patient specifics.</t>
  </si>
  <si>
    <t>Pt education documented by PTA</t>
  </si>
  <si>
    <t>NA- no goals met</t>
  </si>
  <si>
    <t>Doris Whitlock</t>
  </si>
  <si>
    <t>5/13-5/27/25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</si>
</sst>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sz val="8"/>
      <name val="Calibri"/>
      <family val="2"/>
      <scheme val="minor"/>
    </font>
    <font>
      <sz val="11"/>
      <color theme="0"/>
      <name val="Calibri"/>
      <family val="2"/>
      <scheme val="minor"/>
    </font>
    <font>
      <b/>
      <sz val="11"/>
      <color theme="1"/>
      <name val="Calibri"/>
      <family val="2"/>
      <scheme val="minor"/>
    </font>
    <font>
      <b/>
      <sz val="12"/>
      <name val="Calibri"/>
      <family val="2"/>
      <scheme val="minor"/>
    </font>
    <font>
      <b/>
      <sz val="14"/>
      <name val="Calibri"/>
      <family val="2"/>
      <scheme val="minor"/>
    </font>
  </fonts>
  <fills count="4">
    <fill>
      <patternFill patternType="none"/>
    </fill>
    <fill>
      <patternFill patternType="gray125"/>
    </fill>
    <fill>
      <patternFill patternType="solid">
        <fgColor theme="2" tint="-0.249977111117893"/>
        <bgColor indexed="64"/>
      </patternFill>
    </fill>
    <fill>
      <patternFill patternType="solid">
        <fgColor theme="0"/>
        <bgColor indexed="64"/>
      </patternFill>
    </fill>
  </fills>
  <borders count="2">
    <border>
      <left/>
      <right/>
      <top/>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applyAlignment="1">
      <alignment wrapText="1"/>
    </xf>
    <xf numFmtId="0" fontId="0" fillId="2" borderId="0" xfId="0" applyFill="1" applyAlignment="1">
      <alignment wrapText="1"/>
    </xf>
    <xf numFmtId="0" fontId="0" fillId="3" borderId="0" xfId="0" applyFill="1"/>
    <xf numFmtId="0" fontId="0" fillId="0" borderId="1" xfId="0" applyBorder="1" applyAlignment="1">
      <alignment wrapText="1"/>
    </xf>
    <xf numFmtId="0" fontId="0" fillId="0" borderId="1" xfId="0" applyBorder="1"/>
    <xf numFmtId="0" fontId="0" fillId="2" borderId="0" xfId="0" applyFill="1"/>
    <xf numFmtId="0" fontId="3" fillId="2" borderId="0" xfId="0" applyFont="1" applyFill="1" applyAlignment="1">
      <alignment wrapText="1"/>
    </xf>
    <xf numFmtId="0" fontId="0" fillId="3" borderId="0" xfId="0" applyFill="1" applyAlignment="1">
      <alignment wrapText="1"/>
    </xf>
    <xf numFmtId="0" fontId="5" fillId="2" borderId="1" xfId="0" applyFont="1" applyFill="1" applyBorder="1"/>
    <xf numFmtId="0" fontId="4" fillId="2" borderId="0" xfId="0" applyFont="1" applyFill="1" applyAlignment="1">
      <alignment wrapText="1"/>
    </xf>
    <xf numFmtId="9" fontId="6" fillId="2" borderId="0" xfId="1" applyFont="1" applyFill="1"/>
    <xf numFmtId="0" fontId="5" fillId="3" borderId="0" xfId="0" applyFont="1" applyFill="1"/>
    <xf numFmtId="9" fontId="6" fillId="3" borderId="0" xfId="1" applyFont="1" applyFill="1"/>
  </cellXfs>
  <cellStyles count="2">
    <cellStyle name="Normal" xfId="0" builtinId="0"/>
    <cellStyle name="Percent" xfId="1" builtinId="5"/>
  </cellStyles>
  <dxfs count="52">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bottom style="thin">
          <color indexed="64"/>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bottom style="thin">
          <color rgb="FF000000"/>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bottom style="thin">
          <color rgb="FF000000"/>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bottom style="thin">
          <color rgb="FF000000"/>
        </bottom>
      </border>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1130300</xdr:colOff>
      <xdr:row>0</xdr:row>
      <xdr:rowOff>344488</xdr:rowOff>
    </xdr:from>
    <xdr:to>
      <xdr:col>3</xdr:col>
      <xdr:colOff>16580</xdr:colOff>
      <xdr:row>1</xdr:row>
      <xdr:rowOff>121188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66988" y="344488"/>
          <a:ext cx="3871030" cy="697450"/>
        </a:xfrm>
        <a:prstGeom prst="rect">
          <a:avLst/>
        </a:prstGeom>
      </xdr:spPr>
    </xdr:pic>
    <xdr:clientData/>
  </xdr:twoCellAnchor>
  <xdr:twoCellAnchor editAs="oneCell">
    <xdr:from>
      <xdr:col>8</xdr:col>
      <xdr:colOff>581025</xdr:colOff>
      <xdr:row>0</xdr:row>
      <xdr:rowOff>123825</xdr:rowOff>
    </xdr:from>
    <xdr:to>
      <xdr:col>9</xdr:col>
      <xdr:colOff>504826</xdr:colOff>
      <xdr:row>4</xdr:row>
      <xdr:rowOff>66675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7500" y="123825"/>
          <a:ext cx="1466850" cy="1466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995363</xdr:colOff>
      <xdr:row>0</xdr:row>
      <xdr:rowOff>288926</xdr:rowOff>
    </xdr:from>
    <xdr:to>
      <xdr:col>2</xdr:col>
      <xdr:colOff>3414712</xdr:colOff>
      <xdr:row>2</xdr:row>
      <xdr:rowOff>65626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32051" y="288926"/>
          <a:ext cx="3863974" cy="697450"/>
        </a:xfrm>
        <a:prstGeom prst="rect">
          <a:avLst/>
        </a:prstGeom>
      </xdr:spPr>
    </xdr:pic>
    <xdr:clientData/>
  </xdr:twoCellAnchor>
  <xdr:twoCellAnchor editAs="oneCell">
    <xdr:from>
      <xdr:col>8</xdr:col>
      <xdr:colOff>581025</xdr:colOff>
      <xdr:row>0</xdr:row>
      <xdr:rowOff>123825</xdr:rowOff>
    </xdr:from>
    <xdr:to>
      <xdr:col>9</xdr:col>
      <xdr:colOff>504825</xdr:colOff>
      <xdr:row>4</xdr:row>
      <xdr:rowOff>249238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7500" y="123825"/>
          <a:ext cx="1466850" cy="14668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1138237</xdr:colOff>
      <xdr:row>0</xdr:row>
      <xdr:rowOff>280988</xdr:rowOff>
    </xdr:from>
    <xdr:to>
      <xdr:col>3</xdr:col>
      <xdr:colOff>80961</xdr:colOff>
      <xdr:row>2</xdr:row>
      <xdr:rowOff>57688</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74925" y="280988"/>
          <a:ext cx="3863974" cy="697450"/>
        </a:xfrm>
        <a:prstGeom prst="rect">
          <a:avLst/>
        </a:prstGeom>
      </xdr:spPr>
    </xdr:pic>
    <xdr:clientData/>
  </xdr:twoCellAnchor>
  <xdr:twoCellAnchor editAs="oneCell">
    <xdr:from>
      <xdr:col>8</xdr:col>
      <xdr:colOff>581025</xdr:colOff>
      <xdr:row>0</xdr:row>
      <xdr:rowOff>123825</xdr:rowOff>
    </xdr:from>
    <xdr:to>
      <xdr:col>9</xdr:col>
      <xdr:colOff>504825</xdr:colOff>
      <xdr:row>4</xdr:row>
      <xdr:rowOff>249238</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7500" y="123825"/>
          <a:ext cx="1466850" cy="14668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781050</xdr:colOff>
      <xdr:row>0</xdr:row>
      <xdr:rowOff>352426</xdr:rowOff>
    </xdr:from>
    <xdr:to>
      <xdr:col>2</xdr:col>
      <xdr:colOff>3200399</xdr:colOff>
      <xdr:row>4</xdr:row>
      <xdr:rowOff>137063</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2650" y="352426"/>
          <a:ext cx="3800474" cy="737137"/>
        </a:xfrm>
        <a:prstGeom prst="rect">
          <a:avLst/>
        </a:prstGeom>
      </xdr:spPr>
    </xdr:pic>
    <xdr:clientData/>
  </xdr:twoCellAnchor>
  <xdr:twoCellAnchor editAs="oneCell">
    <xdr:from>
      <xdr:col>8</xdr:col>
      <xdr:colOff>581025</xdr:colOff>
      <xdr:row>0</xdr:row>
      <xdr:rowOff>123825</xdr:rowOff>
    </xdr:from>
    <xdr:to>
      <xdr:col>9</xdr:col>
      <xdr:colOff>504825</xdr:colOff>
      <xdr:row>5</xdr:row>
      <xdr:rowOff>257175</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982325" y="123825"/>
          <a:ext cx="1466850" cy="14668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524" displayName="Table524" ref="A6:E40" totalsRowCount="1" headerRowDxfId="38" dataDxfId="36" headerRowBorderDxfId="37">
  <autoFilter ref="A6:E39" xr:uid="{00000000-0009-0000-0100-000003000000}"/>
  <tableColumns count="5">
    <tableColumn id="1" xr3:uid="{00000000-0010-0000-0000-000001000000}" name="Document" totalsRowLabel="Total" dataDxfId="35" totalsRowDxfId="34"/>
    <tableColumn id="2" xr3:uid="{00000000-0010-0000-0000-000002000000}" name="Question" dataDxfId="33" totalsRowDxfId="32"/>
    <tableColumn id="3" xr3:uid="{00000000-0010-0000-0000-000003000000}" name="Comment" dataDxfId="31" totalsRowDxfId="30"/>
    <tableColumn id="5" xr3:uid="{00000000-0010-0000-0000-000005000000}" name="Total Points Earned" totalsRowFunction="sum" dataDxfId="29" totalsRowDxfId="28"/>
    <tableColumn id="6" xr3:uid="{00000000-0010-0000-0000-000006000000}" name="category opportunity" totalsRowFunction="sum" dataDxfId="27" totalsRowDxfId="2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523" displayName="Table523" ref="A6:E40" totalsRowCount="1" headerRowDxfId="25" dataDxfId="23" headerRowBorderDxfId="24">
  <autoFilter ref="A6:E39" xr:uid="{00000000-0009-0000-0100-000002000000}"/>
  <tableColumns count="5">
    <tableColumn id="1" xr3:uid="{00000000-0010-0000-0100-000001000000}" name="Document" totalsRowLabel="Total" dataDxfId="22" totalsRowDxfId="21"/>
    <tableColumn id="2" xr3:uid="{00000000-0010-0000-0100-000002000000}" name="Question" dataDxfId="20" totalsRowDxfId="19"/>
    <tableColumn id="3" xr3:uid="{00000000-0010-0000-0100-000003000000}" name="Comment" dataDxfId="18" totalsRowDxfId="17"/>
    <tableColumn id="5" xr3:uid="{00000000-0010-0000-0100-000005000000}" name="Total Points Earned" totalsRowFunction="sum" dataDxfId="16" totalsRowDxfId="15"/>
    <tableColumn id="6" xr3:uid="{00000000-0010-0000-0100-000006000000}" name="category opportunity" totalsRowFunction="sum" dataDxfId="14" totalsRowDxf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52" displayName="Table52" ref="A6:E40" totalsRowCount="1" headerRowDxfId="51" dataDxfId="49" headerRowBorderDxfId="50">
  <autoFilter ref="A6:E39" xr:uid="{00000000-0009-0000-0100-000001000000}"/>
  <tableColumns count="5">
    <tableColumn id="1" xr3:uid="{00000000-0010-0000-0200-000001000000}" name="Document" totalsRowLabel="Total" dataDxfId="48" totalsRowDxfId="47"/>
    <tableColumn id="2" xr3:uid="{00000000-0010-0000-0200-000002000000}" name="Question" dataDxfId="46" totalsRowDxfId="45"/>
    <tableColumn id="3" xr3:uid="{00000000-0010-0000-0200-000003000000}" name="Comment" dataDxfId="44" totalsRowDxfId="43"/>
    <tableColumn id="5" xr3:uid="{00000000-0010-0000-0200-000005000000}" name="Total Points Earned" totalsRowFunction="sum" dataDxfId="42" totalsRowDxfId="41"/>
    <tableColumn id="6" xr3:uid="{00000000-0010-0000-0200-000006000000}" name="category opportunity" totalsRowFunction="sum" dataDxfId="40" totalsRowDxfId="3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5" displayName="Table5" ref="A6:E42" totalsRowCount="1" headerRowDxfId="12" dataDxfId="10" headerRowBorderDxfId="11">
  <autoFilter ref="A6:E41" xr:uid="{00000000-0009-0000-0100-000005000000}"/>
  <tableColumns count="5">
    <tableColumn id="1" xr3:uid="{00000000-0010-0000-0300-000001000000}" name="Document" totalsRowLabel="Total" dataDxfId="9" totalsRowDxfId="8"/>
    <tableColumn id="2" xr3:uid="{00000000-0010-0000-0300-000002000000}" name="Question" dataDxfId="7" totalsRowDxfId="6"/>
    <tableColumn id="3" xr3:uid="{00000000-0010-0000-0300-000003000000}" name="Comment" dataDxfId="5" totalsRowDxfId="4"/>
    <tableColumn id="5" xr3:uid="{00000000-0010-0000-0300-000005000000}" name="Total Points Earned" totalsRowFunction="sum" dataDxfId="3" totalsRowDxfId="2"/>
    <tableColumn id="6" xr3:uid="{00000000-0010-0000-0300-000006000000}" name="category opportunity" totalsRowFunction="sum" dataDxfId="1"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68"/>
  <sheetViews>
    <sheetView zoomScale="80" zoomScaleNormal="80" workbookViewId="0">
      <pane ySplit="6" topLeftCell="A16" activePane="bottomLeft" state="frozen"/>
      <selection pane="bottomLeft" activeCell="C19" sqref="C19"/>
    </sheetView>
  </sheetViews>
  <sheetFormatPr defaultColWidth="8.7890625" defaultRowHeight="14.4" x14ac:dyDescent="0.55000000000000004"/>
  <cols>
    <col min="1" max="1" width="20.5234375" style="1" customWidth="1"/>
    <col min="2" max="2" width="21.5234375" style="1" customWidth="1"/>
    <col min="3" max="3" width="49.7890625" style="1" customWidth="1"/>
    <col min="4" max="4" width="15.7890625" style="1" customWidth="1"/>
    <col min="5" max="5" width="17" style="1" customWidth="1"/>
    <col min="6" max="6" width="12.26171875" customWidth="1"/>
    <col min="7" max="7" width="14.15625" style="1" hidden="1" customWidth="1"/>
    <col min="8" max="8" width="12.15625" customWidth="1"/>
    <col min="9" max="9" width="23.15625" bestFit="1" customWidth="1"/>
    <col min="10" max="10" width="17" customWidth="1"/>
    <col min="11" max="11" width="24.47265625" customWidth="1"/>
  </cols>
  <sheetData>
    <row r="1" spans="1:38" ht="57.6" x14ac:dyDescent="0.55000000000000004">
      <c r="A1" s="10" t="s">
        <v>3</v>
      </c>
      <c r="B1" s="7" t="s">
        <v>84</v>
      </c>
      <c r="C1" s="2"/>
      <c r="D1" s="10" t="s">
        <v>73</v>
      </c>
      <c r="E1" s="7" t="s">
        <v>101</v>
      </c>
      <c r="F1" s="6"/>
      <c r="H1" s="6"/>
      <c r="I1" s="6"/>
      <c r="J1" s="6"/>
    </row>
    <row r="2" spans="1:38" x14ac:dyDescent="0.55000000000000004">
      <c r="A2" s="2"/>
      <c r="B2" s="2"/>
      <c r="C2" s="2"/>
      <c r="D2" s="2"/>
      <c r="E2" s="2"/>
      <c r="F2" s="6"/>
      <c r="H2" s="6"/>
      <c r="I2" s="6"/>
      <c r="J2" s="6"/>
    </row>
    <row r="3" spans="1:38" x14ac:dyDescent="0.55000000000000004">
      <c r="A3" s="7"/>
      <c r="B3" s="2"/>
      <c r="C3" s="2"/>
      <c r="D3" s="2"/>
      <c r="E3" s="2"/>
      <c r="F3" s="6"/>
      <c r="G3" s="2"/>
      <c r="H3" s="6"/>
      <c r="I3" s="6"/>
      <c r="J3" s="6"/>
    </row>
    <row r="4" spans="1:38" x14ac:dyDescent="0.55000000000000004">
      <c r="A4" s="2"/>
      <c r="B4" s="2"/>
      <c r="C4" s="2"/>
      <c r="D4" s="2"/>
      <c r="E4" s="2"/>
      <c r="F4" s="6"/>
      <c r="G4" s="2"/>
      <c r="H4" s="6"/>
      <c r="I4" s="6"/>
      <c r="J4" s="6"/>
    </row>
    <row r="5" spans="1:38" ht="28.8" x14ac:dyDescent="0.55000000000000004">
      <c r="A5" s="10" t="s">
        <v>8</v>
      </c>
      <c r="B5" s="7" t="s">
        <v>85</v>
      </c>
      <c r="C5" s="2"/>
      <c r="D5" s="10" t="s">
        <v>72</v>
      </c>
      <c r="E5" s="7"/>
      <c r="F5" s="6"/>
      <c r="H5" s="6"/>
      <c r="I5" s="6"/>
      <c r="J5" s="6"/>
    </row>
    <row r="6" spans="1:38" s="5" customFormat="1" ht="42" customHeight="1" x14ac:dyDescent="0.7">
      <c r="A6" s="4" t="s">
        <v>42</v>
      </c>
      <c r="B6" s="4" t="s">
        <v>0</v>
      </c>
      <c r="C6" s="4" t="s">
        <v>43</v>
      </c>
      <c r="D6" s="4" t="s">
        <v>1</v>
      </c>
      <c r="E6" s="4" t="s">
        <v>2</v>
      </c>
      <c r="F6" s="6"/>
      <c r="H6" s="9" t="s">
        <v>76</v>
      </c>
      <c r="I6" s="11">
        <f>SUM(D40/E40)</f>
        <v>0.79104477611940294</v>
      </c>
      <c r="J6" s="6"/>
      <c r="K6"/>
      <c r="L6"/>
      <c r="M6"/>
      <c r="N6"/>
      <c r="O6"/>
      <c r="P6"/>
      <c r="Q6"/>
      <c r="R6"/>
      <c r="S6"/>
      <c r="T6"/>
      <c r="U6"/>
      <c r="V6"/>
      <c r="W6"/>
      <c r="X6"/>
      <c r="Y6"/>
      <c r="Z6"/>
      <c r="AA6"/>
      <c r="AB6"/>
      <c r="AC6"/>
      <c r="AD6"/>
      <c r="AE6"/>
      <c r="AF6"/>
      <c r="AG6"/>
      <c r="AH6"/>
      <c r="AI6"/>
      <c r="AJ6"/>
      <c r="AK6"/>
      <c r="AL6"/>
    </row>
    <row r="7" spans="1:38" ht="28.8" x14ac:dyDescent="0.55000000000000004">
      <c r="A7" s="1" t="s">
        <v>5</v>
      </c>
      <c r="B7" s="1" t="s">
        <v>6</v>
      </c>
      <c r="D7" s="1">
        <v>3</v>
      </c>
      <c r="E7" s="1">
        <v>3</v>
      </c>
      <c r="F7" s="3"/>
      <c r="G7" s="3"/>
      <c r="H7" s="3"/>
      <c r="I7" s="3"/>
    </row>
    <row r="8" spans="1:38" ht="28.8" x14ac:dyDescent="0.55000000000000004">
      <c r="A8" s="1" t="s">
        <v>5</v>
      </c>
      <c r="B8" s="1" t="s">
        <v>7</v>
      </c>
      <c r="D8" s="1">
        <v>3</v>
      </c>
      <c r="E8" s="1">
        <v>3</v>
      </c>
      <c r="F8" s="3"/>
      <c r="G8" s="3"/>
      <c r="H8" s="3"/>
      <c r="I8" s="3"/>
      <c r="J8" s="3"/>
    </row>
    <row r="9" spans="1:38" ht="28.8" x14ac:dyDescent="0.55000000000000004">
      <c r="A9" s="1" t="s">
        <v>5</v>
      </c>
      <c r="B9" s="1" t="s">
        <v>9</v>
      </c>
      <c r="C9" s="1" t="s">
        <v>86</v>
      </c>
      <c r="D9" s="1">
        <v>2</v>
      </c>
      <c r="E9" s="1">
        <v>3</v>
      </c>
      <c r="F9" s="3"/>
      <c r="G9" s="3"/>
      <c r="H9" s="3"/>
      <c r="I9" s="3"/>
    </row>
    <row r="10" spans="1:38" ht="28.8" x14ac:dyDescent="0.55000000000000004">
      <c r="A10" s="1" t="s">
        <v>75</v>
      </c>
      <c r="B10" s="1" t="s">
        <v>10</v>
      </c>
      <c r="C10" s="1" t="s">
        <v>87</v>
      </c>
      <c r="D10" s="1">
        <v>3</v>
      </c>
      <c r="E10" s="1">
        <v>3</v>
      </c>
      <c r="F10" s="8"/>
      <c r="G10" s="3"/>
      <c r="H10" s="3"/>
      <c r="I10" s="3"/>
      <c r="J10" s="3"/>
    </row>
    <row r="11" spans="1:38" ht="28.8" x14ac:dyDescent="0.55000000000000004">
      <c r="A11" s="1" t="s">
        <v>75</v>
      </c>
      <c r="B11" s="1" t="s">
        <v>11</v>
      </c>
      <c r="C11" s="1" t="s">
        <v>88</v>
      </c>
      <c r="D11" s="1">
        <v>3</v>
      </c>
      <c r="E11" s="1">
        <v>3</v>
      </c>
      <c r="F11" s="8"/>
      <c r="G11" s="3"/>
      <c r="H11" s="8"/>
      <c r="I11" s="3"/>
      <c r="J11" s="3"/>
    </row>
    <row r="12" spans="1:38" x14ac:dyDescent="0.55000000000000004">
      <c r="A12" s="1" t="s">
        <v>75</v>
      </c>
      <c r="B12" s="1" t="s">
        <v>12</v>
      </c>
      <c r="D12" s="1">
        <v>3</v>
      </c>
      <c r="E12" s="1">
        <v>3</v>
      </c>
      <c r="F12" s="8"/>
      <c r="G12" s="3"/>
      <c r="H12" s="3"/>
      <c r="I12" s="3"/>
      <c r="J12" s="3"/>
    </row>
    <row r="13" spans="1:38" x14ac:dyDescent="0.55000000000000004">
      <c r="A13" s="1" t="s">
        <v>75</v>
      </c>
      <c r="B13" s="1" t="s">
        <v>13</v>
      </c>
      <c r="D13" s="1">
        <v>3</v>
      </c>
      <c r="E13" s="1">
        <v>3</v>
      </c>
      <c r="F13" s="8"/>
      <c r="G13" s="3"/>
      <c r="H13" s="3"/>
      <c r="I13" s="3"/>
      <c r="J13" s="3"/>
    </row>
    <row r="14" spans="1:38" ht="43.2" x14ac:dyDescent="0.55000000000000004">
      <c r="A14" s="1" t="s">
        <v>75</v>
      </c>
      <c r="B14" s="1" t="s">
        <v>14</v>
      </c>
      <c r="C14" s="1" t="s">
        <v>89</v>
      </c>
      <c r="D14" s="1">
        <v>1</v>
      </c>
      <c r="E14" s="1">
        <v>3</v>
      </c>
      <c r="F14" s="8"/>
      <c r="G14" s="3"/>
      <c r="H14" s="3"/>
      <c r="I14" s="3"/>
      <c r="J14" s="3"/>
    </row>
    <row r="15" spans="1:38" x14ac:dyDescent="0.55000000000000004">
      <c r="A15" s="1" t="s">
        <v>75</v>
      </c>
      <c r="B15" s="1" t="s">
        <v>15</v>
      </c>
      <c r="D15" s="1">
        <v>4</v>
      </c>
      <c r="E15" s="1">
        <v>4</v>
      </c>
      <c r="F15" s="8"/>
      <c r="G15" s="3"/>
      <c r="H15" s="3"/>
      <c r="I15" s="3"/>
      <c r="J15" s="3"/>
    </row>
    <row r="16" spans="1:38" x14ac:dyDescent="0.55000000000000004">
      <c r="A16" s="1" t="s">
        <v>16</v>
      </c>
      <c r="B16" s="1" t="s">
        <v>17</v>
      </c>
      <c r="D16" s="1">
        <v>3</v>
      </c>
      <c r="E16" s="1">
        <v>3</v>
      </c>
      <c r="F16" s="8"/>
      <c r="G16" s="3"/>
      <c r="H16" s="3"/>
      <c r="I16" s="3"/>
      <c r="J16" s="3"/>
    </row>
    <row r="17" spans="1:10" ht="28.8" x14ac:dyDescent="0.55000000000000004">
      <c r="A17" s="1" t="s">
        <v>16</v>
      </c>
      <c r="B17" s="1" t="s">
        <v>18</v>
      </c>
      <c r="D17" s="1">
        <v>3</v>
      </c>
      <c r="E17" s="1">
        <v>3</v>
      </c>
      <c r="F17" s="8"/>
      <c r="G17" s="3"/>
      <c r="H17" s="3"/>
      <c r="I17" s="3"/>
      <c r="J17" s="3"/>
    </row>
    <row r="18" spans="1:10" ht="28.8" x14ac:dyDescent="0.55000000000000004">
      <c r="A18" s="1" t="s">
        <v>19</v>
      </c>
      <c r="B18" s="1" t="s">
        <v>9</v>
      </c>
      <c r="C18" s="1" t="s">
        <v>90</v>
      </c>
      <c r="D18" s="1">
        <v>1</v>
      </c>
      <c r="E18" s="1">
        <v>3</v>
      </c>
      <c r="F18" s="8"/>
      <c r="G18" s="3"/>
      <c r="H18" s="3"/>
      <c r="I18" s="3"/>
      <c r="J18" s="3"/>
    </row>
    <row r="19" spans="1:10" ht="43.2" x14ac:dyDescent="0.55000000000000004">
      <c r="A19" s="1" t="s">
        <v>19</v>
      </c>
      <c r="B19" s="1" t="s">
        <v>20</v>
      </c>
      <c r="C19" s="1" t="s">
        <v>100</v>
      </c>
      <c r="D19" s="1">
        <v>1</v>
      </c>
      <c r="E19" s="1">
        <v>3</v>
      </c>
      <c r="F19" s="8"/>
      <c r="G19" s="3"/>
      <c r="H19" s="3"/>
      <c r="I19" s="3"/>
      <c r="J19" s="3"/>
    </row>
    <row r="20" spans="1:10" ht="28.8" x14ac:dyDescent="0.55000000000000004">
      <c r="A20" s="1" t="s">
        <v>19</v>
      </c>
      <c r="B20" s="1" t="s">
        <v>21</v>
      </c>
      <c r="C20" s="1" t="s">
        <v>102</v>
      </c>
      <c r="D20" s="1">
        <v>2</v>
      </c>
      <c r="E20" s="1">
        <v>3</v>
      </c>
      <c r="F20" s="8"/>
      <c r="G20" s="3"/>
      <c r="H20" s="3"/>
      <c r="I20" s="3"/>
      <c r="J20" s="3"/>
    </row>
    <row r="21" spans="1:10" x14ac:dyDescent="0.55000000000000004">
      <c r="A21" s="1" t="s">
        <v>19</v>
      </c>
      <c r="B21" s="1" t="s">
        <v>22</v>
      </c>
      <c r="C21" s="1" t="s">
        <v>91</v>
      </c>
      <c r="D21" s="1">
        <v>3</v>
      </c>
      <c r="E21" s="1">
        <v>3</v>
      </c>
      <c r="F21" s="8"/>
      <c r="G21" s="3"/>
      <c r="H21" s="3"/>
      <c r="I21" s="3"/>
      <c r="J21" s="3"/>
    </row>
    <row r="22" spans="1:10" ht="28.8" x14ac:dyDescent="0.55000000000000004">
      <c r="A22" s="1" t="s">
        <v>23</v>
      </c>
      <c r="B22" s="1" t="s">
        <v>24</v>
      </c>
      <c r="C22" s="1" t="s">
        <v>97</v>
      </c>
      <c r="D22" s="1">
        <v>3</v>
      </c>
      <c r="E22" s="1">
        <v>3</v>
      </c>
      <c r="F22" s="8"/>
      <c r="G22" s="3"/>
      <c r="H22" s="3"/>
      <c r="I22" s="3"/>
      <c r="J22" s="3"/>
    </row>
    <row r="23" spans="1:10" ht="28.8" x14ac:dyDescent="0.55000000000000004">
      <c r="A23" s="1" t="s">
        <v>23</v>
      </c>
      <c r="B23" s="1" t="s">
        <v>25</v>
      </c>
      <c r="D23" s="1">
        <v>3</v>
      </c>
      <c r="E23" s="1">
        <v>3</v>
      </c>
      <c r="F23" s="8"/>
      <c r="G23" s="3"/>
      <c r="H23" s="3"/>
      <c r="I23" s="3"/>
      <c r="J23" s="3"/>
    </row>
    <row r="24" spans="1:10" ht="28.8" x14ac:dyDescent="0.55000000000000004">
      <c r="A24" s="1" t="s">
        <v>23</v>
      </c>
      <c r="B24" s="1" t="s">
        <v>26</v>
      </c>
      <c r="C24" s="1" t="s">
        <v>92</v>
      </c>
      <c r="D24" s="1">
        <v>3</v>
      </c>
      <c r="E24" s="1">
        <v>3</v>
      </c>
      <c r="F24" s="8"/>
      <c r="G24" s="3"/>
      <c r="H24" s="3"/>
      <c r="I24" s="3"/>
      <c r="J24" s="3"/>
    </row>
    <row r="25" spans="1:10" ht="28.8" x14ac:dyDescent="0.55000000000000004">
      <c r="A25" s="1" t="s">
        <v>23</v>
      </c>
      <c r="B25" s="1" t="s">
        <v>27</v>
      </c>
      <c r="C25" s="1" t="s">
        <v>98</v>
      </c>
      <c r="D25" s="1">
        <v>1</v>
      </c>
      <c r="E25" s="1">
        <v>3</v>
      </c>
      <c r="F25" s="8"/>
      <c r="G25" s="3"/>
      <c r="H25" s="3"/>
      <c r="I25" s="3"/>
      <c r="J25" s="3"/>
    </row>
    <row r="26" spans="1:10" x14ac:dyDescent="0.55000000000000004">
      <c r="A26" s="1" t="s">
        <v>23</v>
      </c>
      <c r="B26" s="1" t="s">
        <v>28</v>
      </c>
      <c r="D26" s="1">
        <v>3</v>
      </c>
      <c r="E26" s="1">
        <v>3</v>
      </c>
      <c r="F26" s="8"/>
      <c r="G26" s="3"/>
      <c r="H26" s="3"/>
      <c r="I26" s="3"/>
      <c r="J26" s="3"/>
    </row>
    <row r="27" spans="1:10" ht="28.8" x14ac:dyDescent="0.55000000000000004">
      <c r="A27" s="1" t="s">
        <v>23</v>
      </c>
      <c r="B27" s="1" t="s">
        <v>29</v>
      </c>
      <c r="C27" s="1" t="s">
        <v>99</v>
      </c>
      <c r="D27" s="1" t="s">
        <v>83</v>
      </c>
      <c r="E27" s="1" t="s">
        <v>83</v>
      </c>
      <c r="F27" s="8"/>
      <c r="G27" s="3"/>
      <c r="H27" s="3"/>
      <c r="I27" s="3"/>
      <c r="J27" s="3"/>
    </row>
    <row r="28" spans="1:10" x14ac:dyDescent="0.55000000000000004">
      <c r="A28" s="1" t="s">
        <v>30</v>
      </c>
      <c r="B28" s="1" t="s">
        <v>31</v>
      </c>
      <c r="D28" s="1" t="s">
        <v>83</v>
      </c>
      <c r="E28" s="1" t="s">
        <v>83</v>
      </c>
      <c r="F28" s="8"/>
      <c r="G28" s="3"/>
      <c r="H28" s="3"/>
      <c r="I28" s="3"/>
      <c r="J28" s="3"/>
    </row>
    <row r="29" spans="1:10" x14ac:dyDescent="0.55000000000000004">
      <c r="A29" s="1" t="s">
        <v>30</v>
      </c>
      <c r="B29" s="1" t="s">
        <v>32</v>
      </c>
      <c r="D29" s="1" t="s">
        <v>83</v>
      </c>
      <c r="E29" s="1" t="s">
        <v>83</v>
      </c>
      <c r="F29" s="8"/>
      <c r="G29" s="3"/>
      <c r="H29" s="3"/>
      <c r="I29" s="3"/>
      <c r="J29" s="3"/>
    </row>
    <row r="30" spans="1:10" ht="43.2" x14ac:dyDescent="0.55000000000000004">
      <c r="A30" s="1" t="s">
        <v>30</v>
      </c>
      <c r="B30" s="1" t="s">
        <v>33</v>
      </c>
      <c r="D30" s="1" t="s">
        <v>83</v>
      </c>
      <c r="E30" s="1" t="s">
        <v>83</v>
      </c>
      <c r="F30" s="8"/>
      <c r="G30" s="3"/>
      <c r="H30" s="3"/>
      <c r="I30" s="3"/>
      <c r="J30" s="3"/>
    </row>
    <row r="31" spans="1:10" ht="28.8" x14ac:dyDescent="0.55000000000000004">
      <c r="A31" s="1" t="s">
        <v>30</v>
      </c>
      <c r="B31" s="1" t="s">
        <v>34</v>
      </c>
      <c r="D31" s="1" t="s">
        <v>83</v>
      </c>
      <c r="E31" s="1" t="s">
        <v>83</v>
      </c>
      <c r="F31" s="8"/>
      <c r="G31" s="3"/>
      <c r="H31" s="3"/>
      <c r="I31" s="3"/>
      <c r="J31" s="3"/>
    </row>
    <row r="32" spans="1:10" x14ac:dyDescent="0.55000000000000004">
      <c r="A32" s="1" t="s">
        <v>30</v>
      </c>
      <c r="B32" s="1" t="s">
        <v>35</v>
      </c>
      <c r="D32" s="1" t="s">
        <v>83</v>
      </c>
      <c r="E32" s="1" t="s">
        <v>83</v>
      </c>
      <c r="F32" s="8"/>
      <c r="G32" s="3"/>
      <c r="H32" s="3"/>
      <c r="I32" s="3"/>
      <c r="J32" s="3"/>
    </row>
    <row r="33" spans="1:10" ht="28.8" x14ac:dyDescent="0.55000000000000004">
      <c r="A33" s="1" t="s">
        <v>30</v>
      </c>
      <c r="B33" s="1" t="s">
        <v>36</v>
      </c>
      <c r="D33" s="1" t="s">
        <v>83</v>
      </c>
      <c r="E33" s="1" t="s">
        <v>83</v>
      </c>
      <c r="F33" s="8"/>
      <c r="G33" s="3"/>
      <c r="H33" s="3"/>
      <c r="I33" s="3"/>
      <c r="J33" s="3"/>
    </row>
    <row r="34" spans="1:10" x14ac:dyDescent="0.55000000000000004">
      <c r="A34" s="1" t="s">
        <v>30</v>
      </c>
      <c r="B34" s="1" t="s">
        <v>37</v>
      </c>
      <c r="D34" s="1" t="s">
        <v>83</v>
      </c>
      <c r="E34" s="1" t="s">
        <v>83</v>
      </c>
      <c r="F34" s="8"/>
      <c r="G34" s="3"/>
      <c r="H34" s="3"/>
      <c r="I34" s="3"/>
      <c r="J34" s="3"/>
    </row>
    <row r="35" spans="1:10" x14ac:dyDescent="0.55000000000000004">
      <c r="A35" s="1" t="s">
        <v>30</v>
      </c>
      <c r="B35" s="1" t="s">
        <v>9</v>
      </c>
      <c r="D35" s="1" t="s">
        <v>83</v>
      </c>
      <c r="E35" s="1" t="s">
        <v>83</v>
      </c>
      <c r="F35" s="8"/>
      <c r="G35" s="3"/>
      <c r="H35" s="3"/>
      <c r="I35" s="3"/>
      <c r="J35" s="3"/>
    </row>
    <row r="36" spans="1:10" x14ac:dyDescent="0.55000000000000004">
      <c r="A36" s="1" t="s">
        <v>38</v>
      </c>
      <c r="B36" s="1" t="s">
        <v>39</v>
      </c>
      <c r="C36" s="1" t="s">
        <v>96</v>
      </c>
      <c r="D36" s="1" t="s">
        <v>83</v>
      </c>
      <c r="E36" s="1" t="s">
        <v>83</v>
      </c>
      <c r="F36" s="8"/>
      <c r="G36" s="3"/>
      <c r="H36" s="3"/>
      <c r="I36" s="3"/>
      <c r="J36" s="3"/>
    </row>
    <row r="37" spans="1:10" ht="57.6" x14ac:dyDescent="0.55000000000000004">
      <c r="A37" s="1" t="s">
        <v>38</v>
      </c>
      <c r="B37" s="1" t="s">
        <v>40</v>
      </c>
      <c r="C37" s="1" t="s">
        <v>93</v>
      </c>
      <c r="D37" s="1">
        <v>1</v>
      </c>
      <c r="E37" s="1">
        <v>3</v>
      </c>
      <c r="F37" s="8"/>
      <c r="G37" s="3"/>
      <c r="H37" s="3"/>
      <c r="I37" s="3"/>
      <c r="J37" s="3"/>
    </row>
    <row r="38" spans="1:10" x14ac:dyDescent="0.55000000000000004">
      <c r="A38" s="1" t="s">
        <v>38</v>
      </c>
      <c r="B38" s="1" t="s">
        <v>9</v>
      </c>
      <c r="C38" s="1" t="s">
        <v>94</v>
      </c>
      <c r="D38" s="1">
        <v>1</v>
      </c>
      <c r="E38" s="1">
        <v>3</v>
      </c>
      <c r="F38" s="8"/>
      <c r="G38" s="3"/>
      <c r="H38" s="3"/>
      <c r="I38" s="3"/>
      <c r="J38" s="3"/>
    </row>
    <row r="39" spans="1:10" x14ac:dyDescent="0.55000000000000004">
      <c r="A39" s="1" t="s">
        <v>38</v>
      </c>
      <c r="B39" s="1" t="s">
        <v>13</v>
      </c>
      <c r="C39" s="1" t="s">
        <v>95</v>
      </c>
      <c r="D39" s="1" t="s">
        <v>83</v>
      </c>
      <c r="E39" s="1" t="s">
        <v>83</v>
      </c>
      <c r="F39" s="8"/>
      <c r="G39" s="3"/>
      <c r="H39" s="3"/>
      <c r="I39" s="3"/>
      <c r="J39" s="3"/>
    </row>
    <row r="40" spans="1:10" x14ac:dyDescent="0.55000000000000004">
      <c r="A40" s="1" t="s">
        <v>41</v>
      </c>
      <c r="D40" s="1">
        <f>SUBTOTAL(109,Table524[Total Points Earned])</f>
        <v>53</v>
      </c>
      <c r="E40" s="1">
        <f>SUBTOTAL(109,Table524[category opportunity])</f>
        <v>67</v>
      </c>
      <c r="F40" s="8"/>
      <c r="G40" s="3"/>
      <c r="H40" s="3"/>
      <c r="I40" s="3"/>
      <c r="J40" s="3"/>
    </row>
    <row r="41" spans="1:10" x14ac:dyDescent="0.55000000000000004">
      <c r="A41" s="8"/>
      <c r="B41" s="8"/>
      <c r="C41" s="8"/>
      <c r="D41" s="8"/>
      <c r="E41" s="8"/>
      <c r="F41" s="3"/>
      <c r="G41" s="8"/>
      <c r="H41" s="3"/>
      <c r="I41" s="3"/>
      <c r="J41" s="3"/>
    </row>
    <row r="42" spans="1:10" x14ac:dyDescent="0.55000000000000004">
      <c r="A42" s="8"/>
      <c r="B42" s="8"/>
      <c r="C42" s="8"/>
      <c r="D42" s="8"/>
      <c r="E42" s="8"/>
      <c r="F42" s="3"/>
      <c r="G42" s="8"/>
      <c r="H42" s="3"/>
      <c r="I42" s="3"/>
      <c r="J42" s="3"/>
    </row>
    <row r="43" spans="1:10" x14ac:dyDescent="0.55000000000000004">
      <c r="A43" s="8"/>
      <c r="B43" s="8"/>
      <c r="C43" s="8"/>
      <c r="D43" s="8"/>
      <c r="E43" s="8"/>
      <c r="F43" s="3"/>
      <c r="G43" s="8"/>
      <c r="H43" s="3"/>
      <c r="I43" s="3"/>
      <c r="J43" s="3"/>
    </row>
    <row r="44" spans="1:10" x14ac:dyDescent="0.55000000000000004">
      <c r="A44" s="8"/>
      <c r="B44" s="8"/>
      <c r="C44" s="8"/>
      <c r="D44" s="8"/>
      <c r="E44" s="8"/>
      <c r="F44" s="3"/>
      <c r="G44" s="8"/>
      <c r="H44" s="3"/>
      <c r="I44" s="3"/>
      <c r="J44" s="3"/>
    </row>
    <row r="45" spans="1:10" x14ac:dyDescent="0.55000000000000004">
      <c r="A45" s="8"/>
      <c r="B45" s="8"/>
      <c r="C45" s="8"/>
      <c r="D45" s="8"/>
      <c r="E45" s="8"/>
      <c r="F45" s="3"/>
      <c r="G45" s="8"/>
      <c r="H45" s="3"/>
      <c r="I45" s="3"/>
      <c r="J45" s="3"/>
    </row>
    <row r="46" spans="1:10" x14ac:dyDescent="0.55000000000000004">
      <c r="A46" s="8"/>
      <c r="B46" s="8"/>
      <c r="C46" s="8"/>
      <c r="D46" s="8"/>
      <c r="E46" s="8"/>
      <c r="F46" s="3"/>
      <c r="G46" s="8"/>
      <c r="H46" s="3"/>
      <c r="I46" s="3"/>
      <c r="J46" s="3"/>
    </row>
    <row r="47" spans="1:10" x14ac:dyDescent="0.55000000000000004">
      <c r="A47" s="8"/>
      <c r="B47" s="8"/>
      <c r="C47" s="8"/>
      <c r="D47" s="8"/>
      <c r="E47" s="8"/>
      <c r="F47" s="3"/>
      <c r="G47" s="8"/>
      <c r="H47" s="3"/>
      <c r="I47" s="3"/>
      <c r="J47" s="3"/>
    </row>
    <row r="48" spans="1:10" x14ac:dyDescent="0.55000000000000004">
      <c r="A48" s="8"/>
      <c r="B48" s="8"/>
      <c r="C48" s="8"/>
      <c r="D48" s="8"/>
      <c r="E48" s="8"/>
      <c r="F48" s="3"/>
      <c r="G48" s="8"/>
      <c r="H48" s="3"/>
      <c r="I48" s="3"/>
      <c r="J48" s="3"/>
    </row>
    <row r="49" spans="1:10" x14ac:dyDescent="0.55000000000000004">
      <c r="A49" s="8"/>
      <c r="B49" s="8"/>
      <c r="C49" s="8"/>
      <c r="D49" s="8"/>
      <c r="E49" s="8"/>
      <c r="F49" s="3"/>
      <c r="G49" s="8"/>
      <c r="H49" s="3"/>
      <c r="I49" s="3"/>
      <c r="J49" s="3"/>
    </row>
    <row r="50" spans="1:10" x14ac:dyDescent="0.55000000000000004">
      <c r="A50" s="8"/>
      <c r="B50" s="8"/>
      <c r="C50" s="8"/>
      <c r="D50" s="8"/>
      <c r="E50" s="8"/>
      <c r="F50" s="3"/>
      <c r="G50" s="8"/>
      <c r="H50" s="3"/>
      <c r="I50" s="3"/>
      <c r="J50" s="3"/>
    </row>
    <row r="51" spans="1:10" x14ac:dyDescent="0.55000000000000004">
      <c r="A51" s="8"/>
      <c r="B51" s="8"/>
      <c r="C51" s="8"/>
      <c r="D51" s="8"/>
      <c r="E51" s="8"/>
      <c r="F51" s="3"/>
      <c r="G51" s="8"/>
      <c r="H51" s="3"/>
      <c r="I51" s="3"/>
      <c r="J51" s="3"/>
    </row>
    <row r="52" spans="1:10" x14ac:dyDescent="0.55000000000000004">
      <c r="A52" s="8"/>
      <c r="B52" s="8"/>
      <c r="C52" s="8"/>
      <c r="D52" s="8"/>
      <c r="E52" s="8"/>
      <c r="F52" s="3"/>
      <c r="G52" s="8"/>
      <c r="H52" s="3"/>
      <c r="I52" s="3"/>
      <c r="J52" s="3"/>
    </row>
    <row r="53" spans="1:10" x14ac:dyDescent="0.55000000000000004">
      <c r="A53" s="8"/>
      <c r="B53" s="8"/>
      <c r="C53" s="8"/>
      <c r="D53" s="8"/>
      <c r="E53" s="8"/>
      <c r="F53" s="3"/>
      <c r="G53" s="8"/>
      <c r="H53" s="3"/>
      <c r="I53" s="3"/>
      <c r="J53" s="3"/>
    </row>
    <row r="54" spans="1:10" x14ac:dyDescent="0.55000000000000004">
      <c r="A54" s="8"/>
      <c r="B54" s="8"/>
      <c r="C54" s="8"/>
      <c r="D54" s="8"/>
      <c r="E54" s="8"/>
      <c r="F54" s="3"/>
      <c r="G54" s="8"/>
      <c r="H54" s="3"/>
      <c r="I54" s="3"/>
      <c r="J54" s="3"/>
    </row>
    <row r="55" spans="1:10" x14ac:dyDescent="0.55000000000000004">
      <c r="A55" s="8"/>
      <c r="B55" s="8"/>
      <c r="C55" s="8"/>
      <c r="D55" s="8"/>
      <c r="E55" s="8"/>
      <c r="F55" s="3"/>
      <c r="G55" s="8"/>
      <c r="H55" s="3"/>
      <c r="I55" s="3"/>
      <c r="J55" s="3"/>
    </row>
    <row r="56" spans="1:10" x14ac:dyDescent="0.55000000000000004">
      <c r="A56" s="8"/>
      <c r="B56" s="8"/>
      <c r="C56" s="8"/>
      <c r="D56" s="8"/>
      <c r="E56" s="8"/>
      <c r="F56" s="3"/>
      <c r="G56" s="8"/>
      <c r="H56" s="3"/>
      <c r="I56" s="3"/>
      <c r="J56" s="3"/>
    </row>
    <row r="57" spans="1:10" x14ac:dyDescent="0.55000000000000004">
      <c r="A57" s="8"/>
      <c r="B57" s="8"/>
      <c r="C57" s="8"/>
      <c r="D57" s="8"/>
      <c r="E57" s="8"/>
      <c r="F57" s="3"/>
      <c r="G57" s="8"/>
      <c r="H57" s="3"/>
      <c r="I57" s="3"/>
      <c r="J57" s="3"/>
    </row>
    <row r="58" spans="1:10" x14ac:dyDescent="0.55000000000000004">
      <c r="A58" s="8"/>
      <c r="B58" s="8"/>
      <c r="C58" s="8"/>
      <c r="D58" s="8"/>
      <c r="E58" s="8"/>
      <c r="F58" s="3"/>
      <c r="G58" s="8"/>
      <c r="H58" s="3"/>
      <c r="I58" s="3"/>
      <c r="J58" s="3"/>
    </row>
    <row r="59" spans="1:10" x14ac:dyDescent="0.55000000000000004">
      <c r="A59" s="8"/>
      <c r="B59" s="8"/>
      <c r="C59" s="8"/>
      <c r="D59" s="8"/>
      <c r="E59" s="8"/>
      <c r="F59" s="3"/>
      <c r="G59" s="8"/>
      <c r="H59" s="3"/>
      <c r="I59" s="3"/>
      <c r="J59" s="3"/>
    </row>
    <row r="60" spans="1:10" x14ac:dyDescent="0.55000000000000004">
      <c r="A60" s="8"/>
      <c r="B60" s="8"/>
      <c r="C60" s="8"/>
      <c r="D60" s="8"/>
      <c r="E60" s="8"/>
      <c r="F60" s="3"/>
      <c r="G60" s="8"/>
      <c r="H60" s="3"/>
      <c r="I60" s="3"/>
      <c r="J60" s="3"/>
    </row>
    <row r="61" spans="1:10" x14ac:dyDescent="0.55000000000000004">
      <c r="A61" s="8"/>
      <c r="B61" s="8"/>
      <c r="C61" s="8"/>
      <c r="D61" s="8"/>
      <c r="E61" s="8"/>
      <c r="F61" s="3"/>
      <c r="G61" s="8"/>
      <c r="H61" s="3"/>
      <c r="I61" s="3"/>
      <c r="J61" s="3"/>
    </row>
    <row r="62" spans="1:10" x14ac:dyDescent="0.55000000000000004">
      <c r="A62" s="8"/>
      <c r="B62" s="8"/>
      <c r="C62" s="8"/>
      <c r="D62" s="8"/>
      <c r="E62" s="8"/>
      <c r="F62" s="3"/>
      <c r="G62" s="8"/>
      <c r="H62" s="3"/>
      <c r="I62" s="3"/>
      <c r="J62" s="3"/>
    </row>
    <row r="63" spans="1:10" x14ac:dyDescent="0.55000000000000004">
      <c r="A63" s="8"/>
      <c r="B63" s="8"/>
      <c r="C63" s="8"/>
      <c r="D63" s="8"/>
      <c r="E63" s="8"/>
      <c r="F63" s="3"/>
      <c r="G63" s="8"/>
      <c r="H63" s="3"/>
      <c r="I63" s="3"/>
      <c r="J63" s="3"/>
    </row>
    <row r="64" spans="1:10" x14ac:dyDescent="0.55000000000000004">
      <c r="A64" s="8"/>
      <c r="B64" s="8"/>
      <c r="C64" s="8"/>
      <c r="D64" s="8"/>
      <c r="E64" s="8"/>
      <c r="F64" s="3"/>
      <c r="G64" s="8"/>
      <c r="H64" s="3"/>
      <c r="I64" s="3"/>
      <c r="J64" s="3"/>
    </row>
    <row r="65" spans="1:10" x14ac:dyDescent="0.55000000000000004">
      <c r="A65" s="8"/>
      <c r="B65" s="8"/>
      <c r="C65" s="8"/>
      <c r="D65" s="8"/>
      <c r="E65" s="8"/>
      <c r="F65" s="3"/>
      <c r="G65" s="8"/>
      <c r="H65" s="3"/>
      <c r="I65" s="3"/>
      <c r="J65" s="3"/>
    </row>
    <row r="66" spans="1:10" x14ac:dyDescent="0.55000000000000004">
      <c r="A66" s="8"/>
      <c r="B66" s="8"/>
      <c r="C66" s="8"/>
      <c r="D66" s="8"/>
      <c r="E66" s="8"/>
      <c r="F66" s="3"/>
      <c r="G66" s="8"/>
      <c r="H66" s="3"/>
      <c r="I66" s="3"/>
      <c r="J66" s="3"/>
    </row>
    <row r="67" spans="1:10" x14ac:dyDescent="0.55000000000000004">
      <c r="A67" s="8"/>
      <c r="B67" s="8"/>
      <c r="C67" s="8"/>
      <c r="D67" s="8"/>
      <c r="E67" s="8"/>
      <c r="F67" s="3"/>
      <c r="G67" s="8"/>
      <c r="H67" s="3"/>
      <c r="I67" s="3"/>
      <c r="J67" s="3"/>
    </row>
    <row r="68" spans="1:10" x14ac:dyDescent="0.55000000000000004">
      <c r="A68" s="8"/>
      <c r="B68" s="8"/>
      <c r="C68" s="8"/>
      <c r="D68" s="8"/>
      <c r="E68" s="8"/>
      <c r="F68" s="3"/>
      <c r="G68" s="8"/>
      <c r="H68" s="3"/>
      <c r="I68" s="3"/>
      <c r="J68" s="3"/>
    </row>
  </sheetData>
  <pageMargins left="0.7" right="0.7" top="0.75" bottom="0.75" header="0.3" footer="0.3"/>
  <pageSetup fitToWidth="0" fitToHeight="0" orientation="landscape"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68"/>
  <sheetViews>
    <sheetView zoomScale="80" zoomScaleNormal="80" workbookViewId="0">
      <pane ySplit="6" topLeftCell="A17" activePane="bottomLeft" state="frozen"/>
      <selection pane="bottomLeft" activeCell="C19" sqref="C19"/>
    </sheetView>
  </sheetViews>
  <sheetFormatPr defaultColWidth="8.7890625" defaultRowHeight="14.4" x14ac:dyDescent="0.55000000000000004"/>
  <cols>
    <col min="1" max="1" width="20.5234375" style="1" customWidth="1"/>
    <col min="2" max="2" width="20.734375" style="1" customWidth="1"/>
    <col min="3" max="3" width="49.7890625" style="1" customWidth="1"/>
    <col min="4" max="4" width="15.7890625" style="1" customWidth="1"/>
    <col min="5" max="5" width="17" style="1" customWidth="1"/>
    <col min="6" max="6" width="12.26171875" customWidth="1"/>
    <col min="7" max="7" width="14.15625" style="1" hidden="1" customWidth="1"/>
    <col min="8" max="8" width="12.15625" customWidth="1"/>
    <col min="9" max="9" width="23.15625" bestFit="1" customWidth="1"/>
    <col min="10" max="10" width="17" customWidth="1"/>
    <col min="11" max="11" width="24.47265625" customWidth="1"/>
  </cols>
  <sheetData>
    <row r="1" spans="1:38" ht="57.6" x14ac:dyDescent="0.55000000000000004">
      <c r="A1" s="10" t="s">
        <v>3</v>
      </c>
      <c r="B1" s="7" t="s">
        <v>103</v>
      </c>
      <c r="C1" s="2"/>
      <c r="D1" s="10" t="s">
        <v>73</v>
      </c>
      <c r="E1" s="7" t="s">
        <v>121</v>
      </c>
      <c r="F1" s="6"/>
      <c r="H1" s="6"/>
      <c r="I1" s="6"/>
      <c r="J1" s="6"/>
    </row>
    <row r="2" spans="1:38" x14ac:dyDescent="0.55000000000000004">
      <c r="A2" s="2"/>
      <c r="B2" s="2"/>
      <c r="C2" s="2"/>
      <c r="D2" s="2"/>
      <c r="E2" s="2"/>
      <c r="F2" s="6"/>
      <c r="H2" s="6"/>
      <c r="I2" s="6"/>
      <c r="J2" s="6"/>
    </row>
    <row r="3" spans="1:38" x14ac:dyDescent="0.55000000000000004">
      <c r="A3" s="7"/>
      <c r="B3" s="2"/>
      <c r="C3" s="2"/>
      <c r="D3" s="2"/>
      <c r="E3" s="2"/>
      <c r="F3" s="6"/>
      <c r="G3" s="2"/>
      <c r="H3" s="6"/>
      <c r="I3" s="6"/>
      <c r="J3" s="6"/>
    </row>
    <row r="4" spans="1:38" x14ac:dyDescent="0.55000000000000004">
      <c r="A4" s="2"/>
      <c r="B4" s="2"/>
      <c r="C4" s="2"/>
      <c r="D4" s="2"/>
      <c r="E4" s="2"/>
      <c r="F4" s="6"/>
      <c r="G4" s="2"/>
      <c r="H4" s="6"/>
      <c r="I4" s="6"/>
      <c r="J4" s="6"/>
    </row>
    <row r="5" spans="1:38" ht="28.8" x14ac:dyDescent="0.55000000000000004">
      <c r="A5" s="10" t="s">
        <v>8</v>
      </c>
      <c r="B5" s="7" t="s">
        <v>104</v>
      </c>
      <c r="C5" s="2"/>
      <c r="D5" s="10" t="s">
        <v>72</v>
      </c>
      <c r="E5" s="7"/>
      <c r="F5" s="6"/>
      <c r="H5" s="6"/>
      <c r="I5" s="6"/>
      <c r="J5" s="6"/>
    </row>
    <row r="6" spans="1:38" s="5" customFormat="1" ht="42" customHeight="1" x14ac:dyDescent="0.7">
      <c r="A6" s="4" t="s">
        <v>42</v>
      </c>
      <c r="B6" s="4" t="s">
        <v>0</v>
      </c>
      <c r="C6" s="4" t="s">
        <v>43</v>
      </c>
      <c r="D6" s="4" t="s">
        <v>1</v>
      </c>
      <c r="E6" s="4" t="s">
        <v>2</v>
      </c>
      <c r="F6" s="6"/>
      <c r="H6" s="9" t="s">
        <v>76</v>
      </c>
      <c r="I6" s="11">
        <f>SUM(D40/E40)</f>
        <v>0.79452054794520544</v>
      </c>
      <c r="J6" s="6"/>
      <c r="K6"/>
      <c r="L6"/>
      <c r="M6"/>
      <c r="N6"/>
      <c r="O6"/>
      <c r="P6"/>
      <c r="Q6"/>
      <c r="R6"/>
      <c r="S6"/>
      <c r="T6"/>
      <c r="U6"/>
      <c r="V6"/>
      <c r="W6"/>
      <c r="X6"/>
      <c r="Y6"/>
      <c r="Z6"/>
      <c r="AA6"/>
      <c r="AB6"/>
      <c r="AC6"/>
      <c r="AD6"/>
      <c r="AE6"/>
      <c r="AF6"/>
      <c r="AG6"/>
      <c r="AH6"/>
      <c r="AI6"/>
      <c r="AJ6"/>
      <c r="AK6"/>
      <c r="AL6"/>
    </row>
    <row r="7" spans="1:38" ht="28.8" x14ac:dyDescent="0.55000000000000004">
      <c r="A7" s="1" t="s">
        <v>5</v>
      </c>
      <c r="B7" s="1" t="s">
        <v>6</v>
      </c>
      <c r="D7" s="1">
        <v>3</v>
      </c>
      <c r="E7" s="1">
        <v>3</v>
      </c>
      <c r="F7" s="3"/>
      <c r="G7" s="3"/>
      <c r="H7" s="3"/>
      <c r="I7" s="3"/>
    </row>
    <row r="8" spans="1:38" ht="28.8" x14ac:dyDescent="0.55000000000000004">
      <c r="A8" s="1" t="s">
        <v>5</v>
      </c>
      <c r="B8" s="1" t="s">
        <v>7</v>
      </c>
      <c r="C8" s="1" t="s">
        <v>106</v>
      </c>
      <c r="D8" s="1">
        <v>0</v>
      </c>
      <c r="E8" s="1">
        <v>3</v>
      </c>
      <c r="F8" s="3"/>
      <c r="G8" s="3"/>
      <c r="H8" s="3"/>
      <c r="I8" s="3"/>
      <c r="J8" s="3"/>
    </row>
    <row r="9" spans="1:38" ht="28.8" x14ac:dyDescent="0.55000000000000004">
      <c r="A9" s="1" t="s">
        <v>5</v>
      </c>
      <c r="B9" s="1" t="s">
        <v>9</v>
      </c>
      <c r="C9" s="1" t="s">
        <v>105</v>
      </c>
      <c r="D9" s="1">
        <v>3</v>
      </c>
      <c r="E9" s="1">
        <v>3</v>
      </c>
      <c r="F9" s="3"/>
      <c r="G9" s="3"/>
      <c r="H9" s="3"/>
      <c r="I9" s="3"/>
    </row>
    <row r="10" spans="1:38" ht="28.8" x14ac:dyDescent="0.55000000000000004">
      <c r="A10" s="1" t="s">
        <v>75</v>
      </c>
      <c r="B10" s="1" t="s">
        <v>10</v>
      </c>
      <c r="C10" s="1" t="s">
        <v>108</v>
      </c>
      <c r="D10" s="1">
        <v>3</v>
      </c>
      <c r="E10" s="1">
        <v>3</v>
      </c>
      <c r="F10" s="8"/>
      <c r="G10" s="3"/>
      <c r="H10" s="3"/>
      <c r="I10" s="3"/>
      <c r="J10" s="3"/>
    </row>
    <row r="11" spans="1:38" ht="28.8" x14ac:dyDescent="0.55000000000000004">
      <c r="A11" s="1" t="s">
        <v>75</v>
      </c>
      <c r="B11" s="1" t="s">
        <v>11</v>
      </c>
      <c r="C11" s="1" t="s">
        <v>107</v>
      </c>
      <c r="D11" s="1">
        <v>3</v>
      </c>
      <c r="E11" s="1">
        <v>3</v>
      </c>
      <c r="F11" s="8"/>
      <c r="G11" s="3"/>
      <c r="H11" s="8"/>
      <c r="I11" s="3"/>
      <c r="J11" s="3"/>
    </row>
    <row r="12" spans="1:38" x14ac:dyDescent="0.55000000000000004">
      <c r="A12" s="1" t="s">
        <v>75</v>
      </c>
      <c r="B12" s="1" t="s">
        <v>12</v>
      </c>
      <c r="D12" s="1">
        <v>3</v>
      </c>
      <c r="E12" s="1">
        <v>3</v>
      </c>
      <c r="F12" s="8"/>
      <c r="G12" s="3"/>
      <c r="H12" s="3"/>
      <c r="I12" s="3"/>
      <c r="J12" s="3"/>
    </row>
    <row r="13" spans="1:38" x14ac:dyDescent="0.55000000000000004">
      <c r="A13" s="1" t="s">
        <v>75</v>
      </c>
      <c r="B13" s="1" t="s">
        <v>13</v>
      </c>
      <c r="C13" s="1" t="s">
        <v>117</v>
      </c>
      <c r="D13" s="1">
        <v>3</v>
      </c>
      <c r="E13" s="1">
        <v>3</v>
      </c>
      <c r="F13" s="8"/>
      <c r="G13" s="3"/>
      <c r="H13" s="3"/>
      <c r="I13" s="3"/>
      <c r="J13" s="3"/>
    </row>
    <row r="14" spans="1:38" x14ac:dyDescent="0.55000000000000004">
      <c r="A14" s="1" t="s">
        <v>75</v>
      </c>
      <c r="B14" s="1" t="s">
        <v>14</v>
      </c>
      <c r="D14" s="1">
        <v>3</v>
      </c>
      <c r="E14" s="1">
        <v>3</v>
      </c>
      <c r="F14" s="8"/>
      <c r="G14" s="3"/>
      <c r="H14" s="3"/>
      <c r="I14" s="3"/>
      <c r="J14" s="3"/>
    </row>
    <row r="15" spans="1:38" x14ac:dyDescent="0.55000000000000004">
      <c r="A15" s="1" t="s">
        <v>75</v>
      </c>
      <c r="B15" s="1" t="s">
        <v>15</v>
      </c>
      <c r="D15" s="1">
        <v>4</v>
      </c>
      <c r="E15" s="1">
        <v>4</v>
      </c>
      <c r="F15" s="8"/>
      <c r="G15" s="3"/>
      <c r="H15" s="3"/>
      <c r="I15" s="3"/>
      <c r="J15" s="3"/>
    </row>
    <row r="16" spans="1:38" x14ac:dyDescent="0.55000000000000004">
      <c r="A16" s="1" t="s">
        <v>16</v>
      </c>
      <c r="B16" s="1" t="s">
        <v>17</v>
      </c>
      <c r="D16" s="1">
        <v>3</v>
      </c>
      <c r="E16" s="1">
        <v>3</v>
      </c>
      <c r="F16" s="8"/>
      <c r="G16" s="3"/>
      <c r="H16" s="3"/>
      <c r="I16" s="3"/>
      <c r="J16" s="3"/>
    </row>
    <row r="17" spans="1:10" ht="28.8" x14ac:dyDescent="0.55000000000000004">
      <c r="A17" s="1" t="s">
        <v>16</v>
      </c>
      <c r="B17" s="1" t="s">
        <v>18</v>
      </c>
      <c r="D17" s="1">
        <v>3</v>
      </c>
      <c r="E17" s="1">
        <v>3</v>
      </c>
      <c r="F17" s="8"/>
      <c r="G17" s="3"/>
      <c r="H17" s="3"/>
      <c r="I17" s="3"/>
      <c r="J17" s="3"/>
    </row>
    <row r="18" spans="1:10" ht="28.8" x14ac:dyDescent="0.55000000000000004">
      <c r="A18" s="1" t="s">
        <v>19</v>
      </c>
      <c r="B18" s="1" t="s">
        <v>9</v>
      </c>
      <c r="C18" s="1" t="s">
        <v>119</v>
      </c>
      <c r="D18" s="1">
        <v>1</v>
      </c>
      <c r="E18" s="1">
        <v>3</v>
      </c>
      <c r="F18" s="8"/>
      <c r="G18" s="3"/>
      <c r="H18" s="3"/>
      <c r="I18" s="3"/>
      <c r="J18" s="3"/>
    </row>
    <row r="19" spans="1:10" ht="43.2" x14ac:dyDescent="0.55000000000000004">
      <c r="A19" s="1" t="s">
        <v>19</v>
      </c>
      <c r="B19" s="1" t="s">
        <v>20</v>
      </c>
      <c r="C19" s="1" t="s">
        <v>120</v>
      </c>
      <c r="D19" s="1">
        <v>1</v>
      </c>
      <c r="E19" s="1">
        <v>3</v>
      </c>
      <c r="F19" s="8"/>
      <c r="G19" s="3"/>
      <c r="H19" s="3"/>
      <c r="I19" s="3"/>
      <c r="J19" s="3"/>
    </row>
    <row r="20" spans="1:10" ht="57.6" x14ac:dyDescent="0.55000000000000004">
      <c r="A20" s="1" t="s">
        <v>19</v>
      </c>
      <c r="B20" s="1" t="s">
        <v>21</v>
      </c>
      <c r="C20" s="1" t="s">
        <v>118</v>
      </c>
      <c r="D20" s="1">
        <v>0</v>
      </c>
      <c r="E20" s="1">
        <v>3</v>
      </c>
      <c r="F20" s="8"/>
      <c r="G20" s="3"/>
      <c r="H20" s="3"/>
      <c r="I20" s="3"/>
      <c r="J20" s="3"/>
    </row>
    <row r="21" spans="1:10" ht="57.6" x14ac:dyDescent="0.55000000000000004">
      <c r="A21" s="1" t="s">
        <v>19</v>
      </c>
      <c r="B21" s="1" t="s">
        <v>22</v>
      </c>
      <c r="C21" s="1" t="s">
        <v>109</v>
      </c>
      <c r="D21" s="1">
        <v>1</v>
      </c>
      <c r="E21" s="1">
        <v>3</v>
      </c>
      <c r="F21" s="8"/>
      <c r="G21" s="3"/>
      <c r="H21" s="3"/>
      <c r="I21" s="3"/>
      <c r="J21" s="3"/>
    </row>
    <row r="22" spans="1:10" ht="28.8" x14ac:dyDescent="0.55000000000000004">
      <c r="A22" s="1" t="s">
        <v>23</v>
      </c>
      <c r="B22" s="1" t="s">
        <v>24</v>
      </c>
      <c r="C22" s="1" t="s">
        <v>116</v>
      </c>
      <c r="D22" s="1">
        <v>3</v>
      </c>
      <c r="E22" s="1">
        <v>3</v>
      </c>
      <c r="F22" s="8"/>
      <c r="G22" s="3"/>
      <c r="H22" s="3"/>
      <c r="I22" s="3"/>
      <c r="J22" s="3"/>
    </row>
    <row r="23" spans="1:10" ht="28.8" x14ac:dyDescent="0.55000000000000004">
      <c r="A23" s="1" t="s">
        <v>23</v>
      </c>
      <c r="B23" s="1" t="s">
        <v>25</v>
      </c>
      <c r="D23" s="1">
        <v>3</v>
      </c>
      <c r="E23" s="1">
        <v>3</v>
      </c>
      <c r="F23" s="8"/>
      <c r="G23" s="3"/>
      <c r="H23" s="3"/>
      <c r="I23" s="3"/>
      <c r="J23" s="3"/>
    </row>
    <row r="24" spans="1:10" ht="43.2" x14ac:dyDescent="0.55000000000000004">
      <c r="A24" s="1" t="s">
        <v>23</v>
      </c>
      <c r="B24" s="1" t="s">
        <v>26</v>
      </c>
      <c r="C24" s="1" t="s">
        <v>110</v>
      </c>
      <c r="D24" s="1">
        <v>1</v>
      </c>
      <c r="E24" s="1">
        <v>3</v>
      </c>
      <c r="F24" s="8"/>
      <c r="G24" s="3"/>
      <c r="H24" s="3"/>
      <c r="I24" s="3"/>
      <c r="J24" s="3"/>
    </row>
    <row r="25" spans="1:10" x14ac:dyDescent="0.55000000000000004">
      <c r="A25" s="1" t="s">
        <v>23</v>
      </c>
      <c r="B25" s="1" t="s">
        <v>27</v>
      </c>
      <c r="C25" s="1" t="s">
        <v>115</v>
      </c>
      <c r="D25" s="1">
        <v>3</v>
      </c>
      <c r="E25" s="1">
        <v>3</v>
      </c>
      <c r="F25" s="8"/>
      <c r="G25" s="3"/>
      <c r="H25" s="3"/>
      <c r="I25" s="3"/>
      <c r="J25" s="3"/>
    </row>
    <row r="26" spans="1:10" x14ac:dyDescent="0.55000000000000004">
      <c r="A26" s="1" t="s">
        <v>23</v>
      </c>
      <c r="B26" s="1" t="s">
        <v>28</v>
      </c>
      <c r="D26" s="1">
        <v>3</v>
      </c>
      <c r="E26" s="1">
        <v>3</v>
      </c>
      <c r="F26" s="8"/>
      <c r="G26" s="3"/>
      <c r="H26" s="3"/>
      <c r="I26" s="3"/>
      <c r="J26" s="3"/>
    </row>
    <row r="27" spans="1:10" ht="28.8" x14ac:dyDescent="0.55000000000000004">
      <c r="A27" s="1" t="s">
        <v>23</v>
      </c>
      <c r="B27" s="1" t="s">
        <v>29</v>
      </c>
      <c r="C27" s="1" t="s">
        <v>113</v>
      </c>
      <c r="D27" s="1" t="s">
        <v>114</v>
      </c>
      <c r="E27" s="1" t="s">
        <v>114</v>
      </c>
      <c r="F27" s="8"/>
      <c r="G27" s="3"/>
      <c r="H27" s="3"/>
      <c r="I27" s="3"/>
      <c r="J27" s="3"/>
    </row>
    <row r="28" spans="1:10" x14ac:dyDescent="0.55000000000000004">
      <c r="A28" s="1" t="s">
        <v>30</v>
      </c>
      <c r="B28" s="1" t="s">
        <v>31</v>
      </c>
      <c r="D28" s="1" t="s">
        <v>83</v>
      </c>
      <c r="E28" s="1" t="s">
        <v>83</v>
      </c>
      <c r="F28" s="8"/>
      <c r="G28" s="3"/>
      <c r="H28" s="3"/>
      <c r="I28" s="3"/>
      <c r="J28" s="3"/>
    </row>
    <row r="29" spans="1:10" x14ac:dyDescent="0.55000000000000004">
      <c r="A29" s="1" t="s">
        <v>30</v>
      </c>
      <c r="B29" s="1" t="s">
        <v>32</v>
      </c>
      <c r="D29" s="1" t="s">
        <v>83</v>
      </c>
      <c r="E29" s="1" t="s">
        <v>83</v>
      </c>
      <c r="F29" s="8"/>
      <c r="G29" s="3"/>
      <c r="H29" s="3"/>
      <c r="I29" s="3"/>
      <c r="J29" s="3"/>
    </row>
    <row r="30" spans="1:10" ht="43.2" x14ac:dyDescent="0.55000000000000004">
      <c r="A30" s="1" t="s">
        <v>30</v>
      </c>
      <c r="B30" s="1" t="s">
        <v>33</v>
      </c>
      <c r="D30" s="1" t="s">
        <v>83</v>
      </c>
      <c r="E30" s="1" t="s">
        <v>83</v>
      </c>
      <c r="F30" s="8"/>
      <c r="G30" s="3"/>
      <c r="H30" s="3"/>
      <c r="I30" s="3"/>
      <c r="J30" s="3"/>
    </row>
    <row r="31" spans="1:10" ht="28.8" x14ac:dyDescent="0.55000000000000004">
      <c r="A31" s="1" t="s">
        <v>30</v>
      </c>
      <c r="B31" s="1" t="s">
        <v>34</v>
      </c>
      <c r="D31" s="1" t="s">
        <v>83</v>
      </c>
      <c r="E31" s="1" t="s">
        <v>83</v>
      </c>
      <c r="F31" s="8"/>
      <c r="G31" s="3"/>
      <c r="H31" s="3"/>
      <c r="I31" s="3"/>
      <c r="J31" s="3"/>
    </row>
    <row r="32" spans="1:10" x14ac:dyDescent="0.55000000000000004">
      <c r="A32" s="1" t="s">
        <v>30</v>
      </c>
      <c r="B32" s="1" t="s">
        <v>35</v>
      </c>
      <c r="D32" s="1" t="s">
        <v>83</v>
      </c>
      <c r="E32" s="1" t="s">
        <v>83</v>
      </c>
      <c r="F32" s="8"/>
      <c r="G32" s="3"/>
      <c r="H32" s="3"/>
      <c r="I32" s="3"/>
      <c r="J32" s="3"/>
    </row>
    <row r="33" spans="1:10" ht="28.8" x14ac:dyDescent="0.55000000000000004">
      <c r="A33" s="1" t="s">
        <v>30</v>
      </c>
      <c r="B33" s="1" t="s">
        <v>36</v>
      </c>
      <c r="D33" s="1" t="s">
        <v>83</v>
      </c>
      <c r="E33" s="1" t="s">
        <v>83</v>
      </c>
      <c r="F33" s="8"/>
      <c r="G33" s="3"/>
      <c r="H33" s="3"/>
      <c r="I33" s="3"/>
      <c r="J33" s="3"/>
    </row>
    <row r="34" spans="1:10" x14ac:dyDescent="0.55000000000000004">
      <c r="A34" s="1" t="s">
        <v>30</v>
      </c>
      <c r="B34" s="1" t="s">
        <v>37</v>
      </c>
      <c r="D34" s="1" t="s">
        <v>83</v>
      </c>
      <c r="E34" s="1" t="s">
        <v>83</v>
      </c>
      <c r="F34" s="8"/>
      <c r="G34" s="3"/>
      <c r="H34" s="3"/>
      <c r="I34" s="3"/>
      <c r="J34" s="3"/>
    </row>
    <row r="35" spans="1:10" x14ac:dyDescent="0.55000000000000004">
      <c r="A35" s="1" t="s">
        <v>30</v>
      </c>
      <c r="B35" s="1" t="s">
        <v>9</v>
      </c>
      <c r="D35" s="1" t="s">
        <v>83</v>
      </c>
      <c r="E35" s="1" t="s">
        <v>83</v>
      </c>
      <c r="F35" s="8"/>
      <c r="G35" s="3"/>
      <c r="H35" s="3"/>
      <c r="I35" s="3"/>
      <c r="J35" s="3"/>
    </row>
    <row r="36" spans="1:10" x14ac:dyDescent="0.55000000000000004">
      <c r="A36" s="1" t="s">
        <v>38</v>
      </c>
      <c r="B36" s="1" t="s">
        <v>39</v>
      </c>
      <c r="D36" s="1">
        <v>3</v>
      </c>
      <c r="E36" s="1">
        <v>3</v>
      </c>
      <c r="F36" s="8"/>
      <c r="G36" s="3"/>
      <c r="H36" s="3"/>
      <c r="I36" s="3"/>
      <c r="J36" s="3"/>
    </row>
    <row r="37" spans="1:10" x14ac:dyDescent="0.55000000000000004">
      <c r="A37" s="1" t="s">
        <v>38</v>
      </c>
      <c r="B37" s="1" t="s">
        <v>40</v>
      </c>
      <c r="C37" s="1" t="s">
        <v>111</v>
      </c>
      <c r="D37" s="1">
        <v>3</v>
      </c>
      <c r="E37" s="1">
        <v>3</v>
      </c>
      <c r="F37" s="8"/>
      <c r="G37" s="3"/>
      <c r="H37" s="3"/>
      <c r="I37" s="3"/>
      <c r="J37" s="3"/>
    </row>
    <row r="38" spans="1:10" x14ac:dyDescent="0.55000000000000004">
      <c r="A38" s="1" t="s">
        <v>38</v>
      </c>
      <c r="B38" s="1" t="s">
        <v>9</v>
      </c>
      <c r="C38" s="1" t="s">
        <v>112</v>
      </c>
      <c r="D38" s="1">
        <v>2</v>
      </c>
      <c r="E38" s="1">
        <v>3</v>
      </c>
      <c r="F38" s="8"/>
      <c r="G38" s="3"/>
      <c r="H38" s="3"/>
      <c r="I38" s="3"/>
      <c r="J38" s="3"/>
    </row>
    <row r="39" spans="1:10" x14ac:dyDescent="0.55000000000000004">
      <c r="A39" s="1" t="s">
        <v>38</v>
      </c>
      <c r="B39" s="1" t="s">
        <v>13</v>
      </c>
      <c r="D39" s="1">
        <v>3</v>
      </c>
      <c r="E39" s="1">
        <v>3</v>
      </c>
      <c r="F39" s="8"/>
      <c r="G39" s="3"/>
      <c r="H39" s="3"/>
      <c r="I39" s="3"/>
      <c r="J39" s="3"/>
    </row>
    <row r="40" spans="1:10" x14ac:dyDescent="0.55000000000000004">
      <c r="A40" s="1" t="s">
        <v>41</v>
      </c>
      <c r="D40" s="1">
        <f>SUBTOTAL(109,Table523[Total Points Earned])</f>
        <v>58</v>
      </c>
      <c r="E40" s="1">
        <f>SUBTOTAL(109,Table523[category opportunity])</f>
        <v>73</v>
      </c>
      <c r="F40" s="8"/>
      <c r="G40" s="3"/>
      <c r="H40" s="3"/>
      <c r="I40" s="3"/>
      <c r="J40" s="3"/>
    </row>
    <row r="41" spans="1:10" x14ac:dyDescent="0.55000000000000004">
      <c r="A41" s="8"/>
      <c r="B41" s="8"/>
      <c r="C41" s="8"/>
      <c r="D41" s="8"/>
      <c r="E41" s="8"/>
      <c r="F41" s="3"/>
      <c r="G41" s="8"/>
      <c r="H41" s="3"/>
      <c r="I41" s="3"/>
      <c r="J41" s="3"/>
    </row>
    <row r="42" spans="1:10" x14ac:dyDescent="0.55000000000000004">
      <c r="A42" s="8"/>
      <c r="B42" s="8"/>
      <c r="C42" s="8"/>
      <c r="D42" s="8"/>
      <c r="E42" s="8"/>
      <c r="F42" s="3"/>
      <c r="G42" s="8"/>
      <c r="H42" s="3"/>
      <c r="I42" s="3"/>
      <c r="J42" s="3"/>
    </row>
    <row r="43" spans="1:10" x14ac:dyDescent="0.55000000000000004">
      <c r="A43" s="8"/>
      <c r="B43" s="8"/>
      <c r="C43" s="8"/>
      <c r="D43" s="8"/>
      <c r="E43" s="8"/>
      <c r="F43" s="3"/>
      <c r="G43" s="8"/>
      <c r="H43" s="3"/>
      <c r="I43" s="3"/>
      <c r="J43" s="3"/>
    </row>
    <row r="44" spans="1:10" x14ac:dyDescent="0.55000000000000004">
      <c r="A44" s="8"/>
      <c r="B44" s="8"/>
      <c r="C44" s="8"/>
      <c r="D44" s="8"/>
      <c r="E44" s="8"/>
      <c r="F44" s="3"/>
      <c r="G44" s="8"/>
      <c r="H44" s="3"/>
      <c r="I44" s="3"/>
      <c r="J44" s="3"/>
    </row>
    <row r="45" spans="1:10" x14ac:dyDescent="0.55000000000000004">
      <c r="A45" s="8"/>
      <c r="B45" s="8"/>
      <c r="C45" s="8"/>
      <c r="D45" s="8"/>
      <c r="E45" s="8"/>
      <c r="F45" s="3"/>
      <c r="G45" s="8"/>
      <c r="H45" s="3"/>
      <c r="I45" s="3"/>
      <c r="J45" s="3"/>
    </row>
    <row r="46" spans="1:10" x14ac:dyDescent="0.55000000000000004">
      <c r="A46" s="8"/>
      <c r="B46" s="8"/>
      <c r="C46" s="8"/>
      <c r="D46" s="8"/>
      <c r="E46" s="8"/>
      <c r="F46" s="3"/>
      <c r="G46" s="8"/>
      <c r="H46" s="3"/>
      <c r="I46" s="3"/>
      <c r="J46" s="3"/>
    </row>
    <row r="47" spans="1:10" x14ac:dyDescent="0.55000000000000004">
      <c r="A47" s="8"/>
      <c r="B47" s="8"/>
      <c r="C47" s="8"/>
      <c r="D47" s="8"/>
      <c r="E47" s="8"/>
      <c r="F47" s="3"/>
      <c r="G47" s="8"/>
      <c r="H47" s="3"/>
      <c r="I47" s="3"/>
      <c r="J47" s="3"/>
    </row>
    <row r="48" spans="1:10" x14ac:dyDescent="0.55000000000000004">
      <c r="A48" s="8"/>
      <c r="B48" s="8"/>
      <c r="C48" s="8"/>
      <c r="D48" s="8"/>
      <c r="E48" s="8"/>
      <c r="F48" s="3"/>
      <c r="G48" s="8"/>
      <c r="H48" s="3"/>
      <c r="I48" s="3"/>
      <c r="J48" s="3"/>
    </row>
    <row r="49" spans="1:10" x14ac:dyDescent="0.55000000000000004">
      <c r="A49" s="8"/>
      <c r="B49" s="8"/>
      <c r="C49" s="8"/>
      <c r="D49" s="8"/>
      <c r="E49" s="8"/>
      <c r="F49" s="3"/>
      <c r="G49" s="8"/>
      <c r="H49" s="3"/>
      <c r="I49" s="3"/>
      <c r="J49" s="3"/>
    </row>
    <row r="50" spans="1:10" x14ac:dyDescent="0.55000000000000004">
      <c r="A50" s="8"/>
      <c r="B50" s="8"/>
      <c r="C50" s="8"/>
      <c r="D50" s="8"/>
      <c r="E50" s="8"/>
      <c r="F50" s="3"/>
      <c r="G50" s="8"/>
      <c r="H50" s="3"/>
      <c r="I50" s="3"/>
      <c r="J50" s="3"/>
    </row>
    <row r="51" spans="1:10" x14ac:dyDescent="0.55000000000000004">
      <c r="A51" s="8"/>
      <c r="B51" s="8"/>
      <c r="C51" s="8"/>
      <c r="D51" s="8"/>
      <c r="E51" s="8"/>
      <c r="F51" s="3"/>
      <c r="G51" s="8"/>
      <c r="H51" s="3"/>
      <c r="I51" s="3"/>
      <c r="J51" s="3"/>
    </row>
    <row r="52" spans="1:10" x14ac:dyDescent="0.55000000000000004">
      <c r="A52" s="8"/>
      <c r="B52" s="8"/>
      <c r="C52" s="8"/>
      <c r="D52" s="8"/>
      <c r="E52" s="8"/>
      <c r="F52" s="3"/>
      <c r="G52" s="8"/>
      <c r="H52" s="3"/>
      <c r="I52" s="3"/>
      <c r="J52" s="3"/>
    </row>
    <row r="53" spans="1:10" x14ac:dyDescent="0.55000000000000004">
      <c r="A53" s="8"/>
      <c r="B53" s="8"/>
      <c r="C53" s="8"/>
      <c r="D53" s="8"/>
      <c r="E53" s="8"/>
      <c r="F53" s="3"/>
      <c r="G53" s="8"/>
      <c r="H53" s="3"/>
      <c r="I53" s="3"/>
      <c r="J53" s="3"/>
    </row>
    <row r="54" spans="1:10" x14ac:dyDescent="0.55000000000000004">
      <c r="A54" s="8"/>
      <c r="B54" s="8"/>
      <c r="C54" s="8"/>
      <c r="D54" s="8"/>
      <c r="E54" s="8"/>
      <c r="F54" s="3"/>
      <c r="G54" s="8"/>
      <c r="H54" s="3"/>
      <c r="I54" s="3"/>
      <c r="J54" s="3"/>
    </row>
    <row r="55" spans="1:10" x14ac:dyDescent="0.55000000000000004">
      <c r="A55" s="8"/>
      <c r="B55" s="8"/>
      <c r="C55" s="8"/>
      <c r="D55" s="8"/>
      <c r="E55" s="8"/>
      <c r="F55" s="3"/>
      <c r="G55" s="8"/>
      <c r="H55" s="3"/>
      <c r="I55" s="3"/>
      <c r="J55" s="3"/>
    </row>
    <row r="56" spans="1:10" x14ac:dyDescent="0.55000000000000004">
      <c r="A56" s="8"/>
      <c r="B56" s="8"/>
      <c r="C56" s="8"/>
      <c r="D56" s="8"/>
      <c r="E56" s="8"/>
      <c r="F56" s="3"/>
      <c r="G56" s="8"/>
      <c r="H56" s="3"/>
      <c r="I56" s="3"/>
      <c r="J56" s="3"/>
    </row>
    <row r="57" spans="1:10" x14ac:dyDescent="0.55000000000000004">
      <c r="A57" s="8"/>
      <c r="B57" s="8"/>
      <c r="C57" s="8"/>
      <c r="D57" s="8"/>
      <c r="E57" s="8"/>
      <c r="F57" s="3"/>
      <c r="G57" s="8"/>
      <c r="H57" s="3"/>
      <c r="I57" s="3"/>
      <c r="J57" s="3"/>
    </row>
    <row r="58" spans="1:10" x14ac:dyDescent="0.55000000000000004">
      <c r="A58" s="8"/>
      <c r="B58" s="8"/>
      <c r="C58" s="8"/>
      <c r="D58" s="8"/>
      <c r="E58" s="8"/>
      <c r="F58" s="3"/>
      <c r="G58" s="8"/>
      <c r="H58" s="3"/>
      <c r="I58" s="3"/>
      <c r="J58" s="3"/>
    </row>
    <row r="59" spans="1:10" x14ac:dyDescent="0.55000000000000004">
      <c r="A59" s="8"/>
      <c r="B59" s="8"/>
      <c r="C59" s="8"/>
      <c r="D59" s="8"/>
      <c r="E59" s="8"/>
      <c r="F59" s="3"/>
      <c r="G59" s="8"/>
      <c r="H59" s="3"/>
      <c r="I59" s="3"/>
      <c r="J59" s="3"/>
    </row>
    <row r="60" spans="1:10" x14ac:dyDescent="0.55000000000000004">
      <c r="A60" s="8"/>
      <c r="B60" s="8"/>
      <c r="C60" s="8"/>
      <c r="D60" s="8"/>
      <c r="E60" s="8"/>
      <c r="F60" s="3"/>
      <c r="G60" s="8"/>
      <c r="H60" s="3"/>
      <c r="I60" s="3"/>
      <c r="J60" s="3"/>
    </row>
    <row r="61" spans="1:10" x14ac:dyDescent="0.55000000000000004">
      <c r="A61" s="8"/>
      <c r="B61" s="8"/>
      <c r="C61" s="8"/>
      <c r="D61" s="8"/>
      <c r="E61" s="8"/>
      <c r="F61" s="3"/>
      <c r="G61" s="8"/>
      <c r="H61" s="3"/>
      <c r="I61" s="3"/>
      <c r="J61" s="3"/>
    </row>
    <row r="62" spans="1:10" x14ac:dyDescent="0.55000000000000004">
      <c r="A62" s="8"/>
      <c r="B62" s="8"/>
      <c r="C62" s="8"/>
      <c r="D62" s="8"/>
      <c r="E62" s="8"/>
      <c r="F62" s="3"/>
      <c r="G62" s="8"/>
      <c r="H62" s="3"/>
      <c r="I62" s="3"/>
      <c r="J62" s="3"/>
    </row>
    <row r="63" spans="1:10" x14ac:dyDescent="0.55000000000000004">
      <c r="A63" s="8"/>
      <c r="B63" s="8"/>
      <c r="C63" s="8"/>
      <c r="D63" s="8"/>
      <c r="E63" s="8"/>
      <c r="F63" s="3"/>
      <c r="G63" s="8"/>
      <c r="H63" s="3"/>
      <c r="I63" s="3"/>
      <c r="J63" s="3"/>
    </row>
    <row r="64" spans="1:10" x14ac:dyDescent="0.55000000000000004">
      <c r="A64" s="8"/>
      <c r="B64" s="8"/>
      <c r="C64" s="8"/>
      <c r="D64" s="8"/>
      <c r="E64" s="8"/>
      <c r="F64" s="3"/>
      <c r="G64" s="8"/>
      <c r="H64" s="3"/>
      <c r="I64" s="3"/>
      <c r="J64" s="3"/>
    </row>
    <row r="65" spans="1:10" x14ac:dyDescent="0.55000000000000004">
      <c r="A65" s="8"/>
      <c r="B65" s="8"/>
      <c r="C65" s="8"/>
      <c r="D65" s="8"/>
      <c r="E65" s="8"/>
      <c r="F65" s="3"/>
      <c r="G65" s="8"/>
      <c r="H65" s="3"/>
      <c r="I65" s="3"/>
      <c r="J65" s="3"/>
    </row>
    <row r="66" spans="1:10" x14ac:dyDescent="0.55000000000000004">
      <c r="A66" s="8"/>
      <c r="B66" s="8"/>
      <c r="C66" s="8"/>
      <c r="D66" s="8"/>
      <c r="E66" s="8"/>
      <c r="F66" s="3"/>
      <c r="G66" s="8"/>
      <c r="H66" s="3"/>
      <c r="I66" s="3"/>
      <c r="J66" s="3"/>
    </row>
    <row r="67" spans="1:10" x14ac:dyDescent="0.55000000000000004">
      <c r="A67" s="8"/>
      <c r="B67" s="8"/>
      <c r="C67" s="8"/>
      <c r="D67" s="8"/>
      <c r="E67" s="8"/>
      <c r="F67" s="3"/>
      <c r="G67" s="8"/>
      <c r="H67" s="3"/>
      <c r="I67" s="3"/>
      <c r="J67" s="3"/>
    </row>
    <row r="68" spans="1:10" x14ac:dyDescent="0.55000000000000004">
      <c r="A68" s="8"/>
      <c r="B68" s="8"/>
      <c r="C68" s="8"/>
      <c r="D68" s="8"/>
      <c r="E68" s="8"/>
      <c r="F68" s="3"/>
      <c r="G68" s="8"/>
      <c r="H68" s="3"/>
      <c r="I68" s="3"/>
      <c r="J68" s="3"/>
    </row>
  </sheetData>
  <pageMargins left="0.7" right="0.7" top="0.75" bottom="0.75" header="0.3" footer="0.3"/>
  <pageSetup fitToWidth="0" fitToHeight="0" orientation="landscape"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68"/>
  <sheetViews>
    <sheetView tabSelected="1" zoomScale="80" zoomScaleNormal="80" workbookViewId="0">
      <pane ySplit="6" topLeftCell="A7" activePane="bottomLeft" state="frozen"/>
      <selection pane="bottomLeft" activeCell="C10" sqref="C10"/>
    </sheetView>
  </sheetViews>
  <sheetFormatPr defaultColWidth="8.7890625" defaultRowHeight="14.4" x14ac:dyDescent="0.55000000000000004"/>
  <cols>
    <col min="1" max="1" width="20.5234375" style="1" customWidth="1"/>
    <col min="2" max="2" width="20.734375" style="1" customWidth="1"/>
    <col min="3" max="3" width="49.7890625" style="1" customWidth="1"/>
    <col min="4" max="4" width="15.7890625" style="1" customWidth="1"/>
    <col min="5" max="5" width="17" style="1" customWidth="1"/>
    <col min="6" max="6" width="12.26171875" customWidth="1"/>
    <col min="7" max="7" width="14.15625" style="1" hidden="1" customWidth="1"/>
    <col min="8" max="8" width="12.15625" customWidth="1"/>
    <col min="9" max="9" width="23.15625" bestFit="1" customWidth="1"/>
    <col min="10" max="10" width="17" customWidth="1"/>
    <col min="11" max="11" width="24.47265625" customWidth="1"/>
  </cols>
  <sheetData>
    <row r="1" spans="1:38" ht="57.6" x14ac:dyDescent="0.55000000000000004">
      <c r="A1" s="10" t="s">
        <v>3</v>
      </c>
      <c r="B1" s="7" t="s">
        <v>136</v>
      </c>
      <c r="C1" s="2"/>
      <c r="D1" s="10" t="s">
        <v>73</v>
      </c>
      <c r="E1" s="7" t="s">
        <v>127</v>
      </c>
      <c r="F1" s="6"/>
      <c r="H1" s="6"/>
      <c r="I1" s="6"/>
      <c r="J1" s="6"/>
    </row>
    <row r="2" spans="1:38" x14ac:dyDescent="0.55000000000000004">
      <c r="A2" s="2"/>
      <c r="B2" s="2"/>
      <c r="C2" s="2"/>
      <c r="D2" s="2"/>
      <c r="E2" s="2"/>
      <c r="F2" s="6"/>
      <c r="H2" s="6"/>
      <c r="I2" s="6"/>
      <c r="J2" s="6"/>
    </row>
    <row r="3" spans="1:38" x14ac:dyDescent="0.55000000000000004">
      <c r="A3" s="7"/>
      <c r="B3" s="2"/>
      <c r="C3" s="2"/>
      <c r="D3" s="2"/>
      <c r="E3" s="2"/>
      <c r="F3" s="6"/>
      <c r="G3" s="2"/>
      <c r="H3" s="6"/>
      <c r="I3" s="6"/>
      <c r="J3" s="6"/>
    </row>
    <row r="4" spans="1:38" x14ac:dyDescent="0.55000000000000004">
      <c r="A4" s="2"/>
      <c r="B4" s="2"/>
      <c r="C4" s="2"/>
      <c r="D4" s="2"/>
      <c r="E4" s="2"/>
      <c r="F4" s="6"/>
      <c r="G4" s="2"/>
      <c r="H4" s="6"/>
      <c r="I4" s="6"/>
      <c r="J4" s="6"/>
    </row>
    <row r="5" spans="1:38" ht="28.8" x14ac:dyDescent="0.55000000000000004">
      <c r="A5" s="10" t="s">
        <v>8</v>
      </c>
      <c r="B5" s="7" t="s">
        <v>137</v>
      </c>
      <c r="C5" s="2"/>
      <c r="D5" s="10" t="s">
        <v>72</v>
      </c>
      <c r="E5" s="7"/>
      <c r="F5" s="6"/>
      <c r="H5" s="6"/>
      <c r="I5" s="6"/>
      <c r="J5" s="6"/>
    </row>
    <row r="6" spans="1:38" s="5" customFormat="1" ht="42" customHeight="1" x14ac:dyDescent="0.7">
      <c r="A6" s="4" t="s">
        <v>42</v>
      </c>
      <c r="B6" s="4" t="s">
        <v>0</v>
      </c>
      <c r="C6" s="4" t="s">
        <v>43</v>
      </c>
      <c r="D6" s="4" t="s">
        <v>1</v>
      </c>
      <c r="E6" s="4" t="s">
        <v>2</v>
      </c>
      <c r="F6" s="6"/>
      <c r="H6" s="9" t="s">
        <v>76</v>
      </c>
      <c r="I6" s="11">
        <f>SUM(D40/E40)</f>
        <v>0.68571428571428572</v>
      </c>
      <c r="J6" s="6"/>
      <c r="K6"/>
      <c r="L6"/>
      <c r="M6"/>
      <c r="N6"/>
      <c r="O6"/>
      <c r="P6"/>
      <c r="Q6"/>
      <c r="R6"/>
      <c r="S6"/>
      <c r="T6"/>
      <c r="U6"/>
      <c r="V6"/>
      <c r="W6"/>
      <c r="X6"/>
      <c r="Y6"/>
      <c r="Z6"/>
      <c r="AA6"/>
      <c r="AB6"/>
      <c r="AC6"/>
      <c r="AD6"/>
      <c r="AE6"/>
      <c r="AF6"/>
      <c r="AG6"/>
      <c r="AH6"/>
      <c r="AI6"/>
      <c r="AJ6"/>
      <c r="AK6"/>
      <c r="AL6"/>
    </row>
    <row r="7" spans="1:38" ht="28.8" x14ac:dyDescent="0.55000000000000004">
      <c r="A7" s="1" t="s">
        <v>5</v>
      </c>
      <c r="B7" s="1" t="s">
        <v>6</v>
      </c>
      <c r="D7" s="1">
        <v>3</v>
      </c>
      <c r="E7" s="1">
        <v>3</v>
      </c>
      <c r="F7" s="3"/>
      <c r="G7" s="3"/>
      <c r="H7" s="3"/>
      <c r="I7" s="3"/>
    </row>
    <row r="8" spans="1:38" ht="28.8" x14ac:dyDescent="0.55000000000000004">
      <c r="A8" s="1" t="s">
        <v>5</v>
      </c>
      <c r="B8" s="1" t="s">
        <v>7</v>
      </c>
      <c r="C8" s="1" t="s">
        <v>123</v>
      </c>
      <c r="D8" s="1">
        <v>3</v>
      </c>
      <c r="E8" s="1">
        <v>3</v>
      </c>
      <c r="F8" s="3"/>
      <c r="G8" s="3"/>
      <c r="H8" s="3"/>
      <c r="I8" s="3"/>
      <c r="J8" s="3"/>
    </row>
    <row r="9" spans="1:38" ht="28.8" x14ac:dyDescent="0.55000000000000004">
      <c r="A9" s="1" t="s">
        <v>5</v>
      </c>
      <c r="B9" s="1" t="s">
        <v>9</v>
      </c>
      <c r="C9" s="1" t="s">
        <v>122</v>
      </c>
      <c r="D9" s="1">
        <v>2</v>
      </c>
      <c r="E9" s="1">
        <v>3</v>
      </c>
      <c r="F9" s="3"/>
      <c r="G9" s="3"/>
      <c r="H9" s="3"/>
      <c r="I9" s="3"/>
    </row>
    <row r="10" spans="1:38" ht="28.8" x14ac:dyDescent="0.55000000000000004">
      <c r="A10" s="1" t="s">
        <v>75</v>
      </c>
      <c r="B10" s="1" t="s">
        <v>10</v>
      </c>
      <c r="D10" s="1">
        <v>3</v>
      </c>
      <c r="E10" s="1">
        <v>3</v>
      </c>
      <c r="F10" s="8"/>
      <c r="G10" s="3"/>
      <c r="H10" s="3"/>
      <c r="I10" s="3"/>
      <c r="J10" s="3"/>
    </row>
    <row r="11" spans="1:38" ht="28.8" x14ac:dyDescent="0.55000000000000004">
      <c r="A11" s="1" t="s">
        <v>75</v>
      </c>
      <c r="B11" s="1" t="s">
        <v>11</v>
      </c>
      <c r="C11" s="1" t="s">
        <v>124</v>
      </c>
      <c r="D11" s="1">
        <v>0</v>
      </c>
      <c r="E11" s="1">
        <v>3</v>
      </c>
      <c r="F11" s="8"/>
      <c r="G11" s="3"/>
      <c r="H11" s="8"/>
      <c r="I11" s="3"/>
      <c r="J11" s="3"/>
    </row>
    <row r="12" spans="1:38" x14ac:dyDescent="0.55000000000000004">
      <c r="A12" s="1" t="s">
        <v>75</v>
      </c>
      <c r="B12" s="1" t="s">
        <v>12</v>
      </c>
      <c r="D12" s="1">
        <v>3</v>
      </c>
      <c r="E12" s="1">
        <v>3</v>
      </c>
      <c r="F12" s="8"/>
      <c r="G12" s="3"/>
      <c r="H12" s="3"/>
      <c r="I12" s="3"/>
      <c r="J12" s="3"/>
    </row>
    <row r="13" spans="1:38" x14ac:dyDescent="0.55000000000000004">
      <c r="A13" s="1" t="s">
        <v>75</v>
      </c>
      <c r="B13" s="1" t="s">
        <v>13</v>
      </c>
      <c r="C13" s="1" t="s">
        <v>125</v>
      </c>
      <c r="D13" s="1">
        <v>3</v>
      </c>
      <c r="E13" s="1">
        <v>3</v>
      </c>
      <c r="F13" s="8"/>
      <c r="G13" s="3"/>
      <c r="H13" s="3"/>
      <c r="I13" s="3"/>
      <c r="J13" s="3"/>
    </row>
    <row r="14" spans="1:38" x14ac:dyDescent="0.55000000000000004">
      <c r="A14" s="1" t="s">
        <v>75</v>
      </c>
      <c r="B14" s="1" t="s">
        <v>14</v>
      </c>
      <c r="D14" s="1">
        <v>3</v>
      </c>
      <c r="E14" s="1">
        <v>3</v>
      </c>
      <c r="F14" s="8"/>
      <c r="G14" s="3"/>
      <c r="H14" s="3"/>
      <c r="I14" s="3"/>
      <c r="J14" s="3"/>
    </row>
    <row r="15" spans="1:38" x14ac:dyDescent="0.55000000000000004">
      <c r="A15" s="1" t="s">
        <v>75</v>
      </c>
      <c r="B15" s="1" t="s">
        <v>15</v>
      </c>
      <c r="D15" s="1">
        <v>4</v>
      </c>
      <c r="E15" s="1">
        <v>4</v>
      </c>
      <c r="F15" s="8"/>
      <c r="G15" s="3"/>
      <c r="H15" s="3"/>
      <c r="I15" s="3"/>
      <c r="J15" s="3"/>
    </row>
    <row r="16" spans="1:38" x14ac:dyDescent="0.55000000000000004">
      <c r="A16" s="1" t="s">
        <v>16</v>
      </c>
      <c r="B16" s="1" t="s">
        <v>17</v>
      </c>
      <c r="D16" s="1">
        <v>3</v>
      </c>
      <c r="E16" s="1">
        <v>3</v>
      </c>
      <c r="F16" s="8"/>
      <c r="G16" s="3"/>
      <c r="H16" s="3"/>
      <c r="I16" s="3"/>
      <c r="J16" s="3"/>
    </row>
    <row r="17" spans="1:10" ht="28.8" x14ac:dyDescent="0.55000000000000004">
      <c r="A17" s="1" t="s">
        <v>16</v>
      </c>
      <c r="B17" s="1" t="s">
        <v>18</v>
      </c>
      <c r="D17" s="1">
        <v>3</v>
      </c>
      <c r="E17" s="1">
        <v>3</v>
      </c>
      <c r="F17" s="8"/>
      <c r="G17" s="3"/>
      <c r="H17" s="3"/>
      <c r="I17" s="3"/>
      <c r="J17" s="3"/>
    </row>
    <row r="18" spans="1:10" x14ac:dyDescent="0.55000000000000004">
      <c r="A18" s="1" t="s">
        <v>19</v>
      </c>
      <c r="B18" s="1" t="s">
        <v>9</v>
      </c>
      <c r="C18" s="1" t="s">
        <v>126</v>
      </c>
      <c r="D18" s="1">
        <v>0</v>
      </c>
      <c r="E18" s="1">
        <v>3</v>
      </c>
      <c r="F18" s="8"/>
      <c r="G18" s="3"/>
      <c r="H18" s="3"/>
      <c r="I18" s="3"/>
      <c r="J18" s="3"/>
    </row>
    <row r="19" spans="1:10" ht="43.2" x14ac:dyDescent="0.55000000000000004">
      <c r="A19" s="1" t="s">
        <v>19</v>
      </c>
      <c r="B19" s="1" t="s">
        <v>20</v>
      </c>
      <c r="C19" s="1" t="s">
        <v>120</v>
      </c>
      <c r="D19" s="1">
        <v>1</v>
      </c>
      <c r="E19" s="1">
        <v>3</v>
      </c>
      <c r="F19" s="8"/>
      <c r="G19" s="3"/>
      <c r="H19" s="3"/>
      <c r="I19" s="3"/>
      <c r="J19" s="3"/>
    </row>
    <row r="20" spans="1:10" x14ac:dyDescent="0.55000000000000004">
      <c r="A20" s="1" t="s">
        <v>19</v>
      </c>
      <c r="B20" s="1" t="s">
        <v>21</v>
      </c>
      <c r="E20" s="1">
        <v>3</v>
      </c>
      <c r="F20" s="8"/>
      <c r="G20" s="3"/>
      <c r="H20" s="3"/>
      <c r="I20" s="3"/>
      <c r="J20" s="3"/>
    </row>
    <row r="21" spans="1:10" ht="28.8" x14ac:dyDescent="0.55000000000000004">
      <c r="A21" s="1" t="s">
        <v>19</v>
      </c>
      <c r="B21" s="1" t="s">
        <v>22</v>
      </c>
      <c r="C21" s="1" t="s">
        <v>131</v>
      </c>
      <c r="D21" s="1">
        <v>0</v>
      </c>
      <c r="E21" s="1">
        <v>3</v>
      </c>
      <c r="F21" s="8"/>
      <c r="G21" s="3"/>
      <c r="H21" s="3"/>
      <c r="I21" s="3"/>
      <c r="J21" s="3"/>
    </row>
    <row r="22" spans="1:10" ht="57.6" x14ac:dyDescent="0.55000000000000004">
      <c r="A22" s="1" t="s">
        <v>23</v>
      </c>
      <c r="B22" s="1" t="s">
        <v>24</v>
      </c>
      <c r="C22" s="1" t="s">
        <v>133</v>
      </c>
      <c r="D22" s="1">
        <v>1</v>
      </c>
      <c r="E22" s="1">
        <v>3</v>
      </c>
      <c r="F22" s="8"/>
      <c r="G22" s="3"/>
      <c r="H22" s="3"/>
      <c r="I22" s="3"/>
      <c r="J22" s="3"/>
    </row>
    <row r="23" spans="1:10" ht="86.4" x14ac:dyDescent="0.55000000000000004">
      <c r="A23" s="1" t="s">
        <v>23</v>
      </c>
      <c r="B23" s="1" t="s">
        <v>25</v>
      </c>
      <c r="C23" s="1" t="s">
        <v>132</v>
      </c>
      <c r="D23" s="1">
        <v>1</v>
      </c>
      <c r="E23" s="1">
        <v>3</v>
      </c>
      <c r="F23" s="8"/>
      <c r="G23" s="3"/>
      <c r="H23" s="3"/>
      <c r="I23" s="3"/>
      <c r="J23" s="3"/>
    </row>
    <row r="24" spans="1:10" ht="28.8" x14ac:dyDescent="0.55000000000000004">
      <c r="A24" s="1" t="s">
        <v>23</v>
      </c>
      <c r="B24" s="1" t="s">
        <v>26</v>
      </c>
      <c r="C24" s="1" t="s">
        <v>130</v>
      </c>
      <c r="D24" s="1">
        <v>2</v>
      </c>
      <c r="E24" s="1">
        <v>3</v>
      </c>
      <c r="F24" s="8"/>
      <c r="G24" s="3"/>
      <c r="H24" s="3"/>
      <c r="I24" s="3"/>
      <c r="J24" s="3"/>
    </row>
    <row r="25" spans="1:10" x14ac:dyDescent="0.55000000000000004">
      <c r="A25" s="1" t="s">
        <v>23</v>
      </c>
      <c r="B25" s="1" t="s">
        <v>27</v>
      </c>
      <c r="C25" s="1" t="s">
        <v>134</v>
      </c>
      <c r="D25" s="1">
        <v>3</v>
      </c>
      <c r="E25" s="1">
        <v>3</v>
      </c>
      <c r="F25" s="8"/>
      <c r="G25" s="3"/>
      <c r="H25" s="3"/>
      <c r="I25" s="3"/>
      <c r="J25" s="3"/>
    </row>
    <row r="26" spans="1:10" x14ac:dyDescent="0.55000000000000004">
      <c r="A26" s="1" t="s">
        <v>23</v>
      </c>
      <c r="B26" s="1" t="s">
        <v>28</v>
      </c>
      <c r="D26" s="1">
        <v>3</v>
      </c>
      <c r="E26" s="1">
        <v>3</v>
      </c>
      <c r="F26" s="8"/>
      <c r="G26" s="3"/>
      <c r="H26" s="3"/>
      <c r="I26" s="3"/>
      <c r="J26" s="3"/>
    </row>
    <row r="27" spans="1:10" ht="28.8" x14ac:dyDescent="0.55000000000000004">
      <c r="A27" s="1" t="s">
        <v>23</v>
      </c>
      <c r="B27" s="1" t="s">
        <v>29</v>
      </c>
      <c r="C27" s="1" t="s">
        <v>135</v>
      </c>
      <c r="D27" s="1" t="s">
        <v>83</v>
      </c>
      <c r="E27" s="1" t="s">
        <v>83</v>
      </c>
      <c r="F27" s="8"/>
      <c r="G27" s="3"/>
      <c r="H27" s="3"/>
      <c r="I27" s="3"/>
      <c r="J27" s="3"/>
    </row>
    <row r="28" spans="1:10" x14ac:dyDescent="0.55000000000000004">
      <c r="A28" s="1" t="s">
        <v>30</v>
      </c>
      <c r="B28" s="1" t="s">
        <v>31</v>
      </c>
      <c r="D28" s="1" t="s">
        <v>83</v>
      </c>
      <c r="E28" s="1" t="s">
        <v>83</v>
      </c>
      <c r="F28" s="8"/>
      <c r="G28" s="3"/>
      <c r="H28" s="3"/>
      <c r="I28" s="3"/>
      <c r="J28" s="3"/>
    </row>
    <row r="29" spans="1:10" x14ac:dyDescent="0.55000000000000004">
      <c r="A29" s="1" t="s">
        <v>30</v>
      </c>
      <c r="B29" s="1" t="s">
        <v>32</v>
      </c>
      <c r="D29" s="1" t="s">
        <v>83</v>
      </c>
      <c r="E29" s="1" t="s">
        <v>83</v>
      </c>
      <c r="F29" s="8"/>
      <c r="G29" s="3"/>
      <c r="H29" s="3"/>
      <c r="I29" s="3"/>
      <c r="J29" s="3"/>
    </row>
    <row r="30" spans="1:10" ht="43.2" x14ac:dyDescent="0.55000000000000004">
      <c r="A30" s="1" t="s">
        <v>30</v>
      </c>
      <c r="B30" s="1" t="s">
        <v>33</v>
      </c>
      <c r="D30" s="1" t="s">
        <v>83</v>
      </c>
      <c r="E30" s="1" t="s">
        <v>83</v>
      </c>
      <c r="F30" s="8"/>
      <c r="G30" s="3"/>
      <c r="H30" s="3"/>
      <c r="I30" s="3"/>
      <c r="J30" s="3"/>
    </row>
    <row r="31" spans="1:10" ht="28.8" x14ac:dyDescent="0.55000000000000004">
      <c r="A31" s="1" t="s">
        <v>30</v>
      </c>
      <c r="B31" s="1" t="s">
        <v>34</v>
      </c>
      <c r="D31" s="1" t="s">
        <v>83</v>
      </c>
      <c r="E31" s="1" t="s">
        <v>83</v>
      </c>
      <c r="F31" s="8"/>
      <c r="G31" s="3"/>
      <c r="H31" s="3"/>
      <c r="I31" s="3"/>
      <c r="J31" s="3"/>
    </row>
    <row r="32" spans="1:10" x14ac:dyDescent="0.55000000000000004">
      <c r="A32" s="1" t="s">
        <v>30</v>
      </c>
      <c r="B32" s="1" t="s">
        <v>35</v>
      </c>
      <c r="D32" s="1" t="s">
        <v>83</v>
      </c>
      <c r="E32" s="1" t="s">
        <v>83</v>
      </c>
      <c r="F32" s="8"/>
      <c r="G32" s="3"/>
      <c r="H32" s="3"/>
      <c r="I32" s="3"/>
      <c r="J32" s="3"/>
    </row>
    <row r="33" spans="1:10" ht="28.8" x14ac:dyDescent="0.55000000000000004">
      <c r="A33" s="1" t="s">
        <v>30</v>
      </c>
      <c r="B33" s="1" t="s">
        <v>36</v>
      </c>
      <c r="D33" s="1" t="s">
        <v>83</v>
      </c>
      <c r="E33" s="1" t="s">
        <v>83</v>
      </c>
      <c r="F33" s="8"/>
      <c r="G33" s="3"/>
      <c r="H33" s="3"/>
      <c r="I33" s="3"/>
      <c r="J33" s="3"/>
    </row>
    <row r="34" spans="1:10" x14ac:dyDescent="0.55000000000000004">
      <c r="A34" s="1" t="s">
        <v>30</v>
      </c>
      <c r="B34" s="1" t="s">
        <v>37</v>
      </c>
      <c r="D34" s="1" t="s">
        <v>83</v>
      </c>
      <c r="E34" s="1" t="s">
        <v>83</v>
      </c>
      <c r="F34" s="8"/>
      <c r="G34" s="3"/>
      <c r="H34" s="3"/>
      <c r="I34" s="3"/>
      <c r="J34" s="3"/>
    </row>
    <row r="35" spans="1:10" x14ac:dyDescent="0.55000000000000004">
      <c r="A35" s="1" t="s">
        <v>30</v>
      </c>
      <c r="B35" s="1" t="s">
        <v>9</v>
      </c>
      <c r="D35" s="1" t="s">
        <v>83</v>
      </c>
      <c r="E35" s="1" t="s">
        <v>83</v>
      </c>
      <c r="F35" s="8"/>
      <c r="G35" s="3"/>
      <c r="H35" s="3"/>
      <c r="I35" s="3"/>
      <c r="J35" s="3"/>
    </row>
    <row r="36" spans="1:10" x14ac:dyDescent="0.55000000000000004">
      <c r="A36" s="1" t="s">
        <v>38</v>
      </c>
      <c r="B36" s="1" t="s">
        <v>39</v>
      </c>
      <c r="D36" s="1">
        <v>3</v>
      </c>
      <c r="E36" s="1">
        <v>3</v>
      </c>
      <c r="F36" s="8"/>
      <c r="G36" s="3"/>
      <c r="H36" s="3"/>
      <c r="I36" s="3"/>
      <c r="J36" s="3"/>
    </row>
    <row r="37" spans="1:10" x14ac:dyDescent="0.55000000000000004">
      <c r="A37" s="1" t="s">
        <v>38</v>
      </c>
      <c r="B37" s="1" t="s">
        <v>40</v>
      </c>
      <c r="C37" s="1" t="s">
        <v>129</v>
      </c>
      <c r="D37" s="1">
        <v>3</v>
      </c>
      <c r="E37" s="1">
        <v>3</v>
      </c>
      <c r="F37" s="8"/>
      <c r="G37" s="3"/>
      <c r="H37" s="3"/>
      <c r="I37" s="3"/>
      <c r="J37" s="3"/>
    </row>
    <row r="38" spans="1:10" x14ac:dyDescent="0.55000000000000004">
      <c r="A38" s="1" t="s">
        <v>38</v>
      </c>
      <c r="B38" s="1" t="s">
        <v>9</v>
      </c>
      <c r="C38" s="1" t="s">
        <v>128</v>
      </c>
      <c r="D38" s="1">
        <v>1</v>
      </c>
      <c r="E38" s="1">
        <v>3</v>
      </c>
      <c r="F38" s="8"/>
      <c r="G38" s="3"/>
      <c r="H38" s="3"/>
      <c r="I38" s="3"/>
      <c r="J38" s="3"/>
    </row>
    <row r="39" spans="1:10" x14ac:dyDescent="0.55000000000000004">
      <c r="A39" s="1" t="s">
        <v>38</v>
      </c>
      <c r="B39" s="1" t="s">
        <v>13</v>
      </c>
      <c r="C39" s="1" t="s">
        <v>113</v>
      </c>
      <c r="D39" s="1" t="s">
        <v>83</v>
      </c>
      <c r="E39" s="1" t="s">
        <v>83</v>
      </c>
      <c r="F39" s="8"/>
      <c r="G39" s="3"/>
      <c r="H39" s="3"/>
      <c r="I39" s="3"/>
      <c r="J39" s="3"/>
    </row>
    <row r="40" spans="1:10" x14ac:dyDescent="0.55000000000000004">
      <c r="A40" s="1" t="s">
        <v>41</v>
      </c>
      <c r="D40" s="1">
        <f>SUBTOTAL(109,Table52[Total Points Earned])</f>
        <v>48</v>
      </c>
      <c r="E40" s="1">
        <f>SUBTOTAL(109,Table52[category opportunity])</f>
        <v>70</v>
      </c>
      <c r="F40" s="8"/>
      <c r="G40" s="3"/>
      <c r="H40" s="3"/>
      <c r="I40" s="3"/>
      <c r="J40" s="3"/>
    </row>
    <row r="41" spans="1:10" x14ac:dyDescent="0.55000000000000004">
      <c r="A41" s="8"/>
      <c r="B41" s="8"/>
      <c r="C41" s="8"/>
      <c r="D41" s="8"/>
      <c r="E41" s="8"/>
      <c r="F41" s="3"/>
      <c r="G41" s="8"/>
      <c r="H41" s="3"/>
      <c r="I41" s="3"/>
      <c r="J41" s="3"/>
    </row>
    <row r="42" spans="1:10" x14ac:dyDescent="0.55000000000000004">
      <c r="A42" s="8"/>
      <c r="B42" s="8"/>
      <c r="C42" s="8"/>
      <c r="D42" s="8"/>
      <c r="E42" s="8"/>
      <c r="F42" s="3"/>
      <c r="G42" s="8"/>
      <c r="H42" s="3"/>
      <c r="I42" s="3"/>
      <c r="J42" s="3"/>
    </row>
    <row r="43" spans="1:10" x14ac:dyDescent="0.55000000000000004">
      <c r="A43" s="8"/>
      <c r="B43" s="8"/>
      <c r="C43" s="8"/>
      <c r="D43" s="8"/>
      <c r="E43" s="8"/>
      <c r="F43" s="3"/>
      <c r="G43" s="8"/>
      <c r="H43" s="3"/>
      <c r="I43" s="3"/>
      <c r="J43" s="3"/>
    </row>
    <row r="44" spans="1:10" x14ac:dyDescent="0.55000000000000004">
      <c r="A44" s="8"/>
      <c r="B44" s="8"/>
      <c r="C44" s="8"/>
      <c r="D44" s="8"/>
      <c r="E44" s="8"/>
      <c r="F44" s="3"/>
      <c r="G44" s="8"/>
      <c r="H44" s="3"/>
      <c r="I44" s="3"/>
      <c r="J44" s="3"/>
    </row>
    <row r="45" spans="1:10" x14ac:dyDescent="0.55000000000000004">
      <c r="A45" s="8"/>
      <c r="B45" s="8"/>
      <c r="C45" s="8"/>
      <c r="D45" s="8"/>
      <c r="E45" s="8"/>
      <c r="F45" s="3"/>
      <c r="G45" s="8"/>
      <c r="H45" s="3"/>
      <c r="I45" s="3"/>
      <c r="J45" s="3"/>
    </row>
    <row r="46" spans="1:10" x14ac:dyDescent="0.55000000000000004">
      <c r="A46" s="8"/>
      <c r="B46" s="8"/>
      <c r="C46" s="8"/>
      <c r="D46" s="8"/>
      <c r="E46" s="8"/>
      <c r="F46" s="3"/>
      <c r="G46" s="8"/>
      <c r="H46" s="3"/>
      <c r="I46" s="3"/>
      <c r="J46" s="3"/>
    </row>
    <row r="47" spans="1:10" x14ac:dyDescent="0.55000000000000004">
      <c r="A47" s="8"/>
      <c r="B47" s="8"/>
      <c r="C47" s="8"/>
      <c r="D47" s="8"/>
      <c r="E47" s="8"/>
      <c r="F47" s="3"/>
      <c r="G47" s="8"/>
      <c r="H47" s="3"/>
      <c r="I47" s="3"/>
      <c r="J47" s="3"/>
    </row>
    <row r="48" spans="1:10" x14ac:dyDescent="0.55000000000000004">
      <c r="A48" s="8"/>
      <c r="B48" s="8"/>
      <c r="C48" s="8"/>
      <c r="D48" s="8"/>
      <c r="E48" s="8"/>
      <c r="F48" s="3"/>
      <c r="G48" s="8"/>
      <c r="H48" s="3"/>
      <c r="I48" s="3"/>
      <c r="J48" s="3"/>
    </row>
    <row r="49" spans="1:10" x14ac:dyDescent="0.55000000000000004">
      <c r="A49" s="8"/>
      <c r="B49" s="8"/>
      <c r="C49" s="8"/>
      <c r="D49" s="8"/>
      <c r="E49" s="8"/>
      <c r="F49" s="3"/>
      <c r="G49" s="8"/>
      <c r="H49" s="3"/>
      <c r="I49" s="3"/>
      <c r="J49" s="3"/>
    </row>
    <row r="50" spans="1:10" x14ac:dyDescent="0.55000000000000004">
      <c r="A50" s="8"/>
      <c r="B50" s="8"/>
      <c r="C50" s="8"/>
      <c r="D50" s="8"/>
      <c r="E50" s="8"/>
      <c r="F50" s="3"/>
      <c r="G50" s="8"/>
      <c r="H50" s="3"/>
      <c r="I50" s="3"/>
      <c r="J50" s="3"/>
    </row>
    <row r="51" spans="1:10" x14ac:dyDescent="0.55000000000000004">
      <c r="A51" s="8"/>
      <c r="B51" s="8"/>
      <c r="C51" s="8"/>
      <c r="D51" s="8"/>
      <c r="E51" s="8"/>
      <c r="F51" s="3"/>
      <c r="G51" s="8"/>
      <c r="H51" s="3"/>
      <c r="I51" s="3"/>
      <c r="J51" s="3"/>
    </row>
    <row r="52" spans="1:10" x14ac:dyDescent="0.55000000000000004">
      <c r="A52" s="8"/>
      <c r="B52" s="8"/>
      <c r="C52" s="8"/>
      <c r="D52" s="8"/>
      <c r="E52" s="8"/>
      <c r="F52" s="3"/>
      <c r="G52" s="8"/>
      <c r="H52" s="3"/>
      <c r="I52" s="3"/>
      <c r="J52" s="3"/>
    </row>
    <row r="53" spans="1:10" x14ac:dyDescent="0.55000000000000004">
      <c r="A53" s="8"/>
      <c r="B53" s="8"/>
      <c r="C53" s="8"/>
      <c r="D53" s="8"/>
      <c r="E53" s="8"/>
      <c r="F53" s="3"/>
      <c r="G53" s="8"/>
      <c r="H53" s="3"/>
      <c r="I53" s="3"/>
      <c r="J53" s="3"/>
    </row>
    <row r="54" spans="1:10" x14ac:dyDescent="0.55000000000000004">
      <c r="A54" s="8"/>
      <c r="B54" s="8"/>
      <c r="C54" s="8"/>
      <c r="D54" s="8"/>
      <c r="E54" s="8"/>
      <c r="F54" s="3"/>
      <c r="G54" s="8"/>
      <c r="H54" s="3"/>
      <c r="I54" s="3"/>
      <c r="J54" s="3"/>
    </row>
    <row r="55" spans="1:10" x14ac:dyDescent="0.55000000000000004">
      <c r="A55" s="8"/>
      <c r="B55" s="8"/>
      <c r="C55" s="8"/>
      <c r="D55" s="8"/>
      <c r="E55" s="8"/>
      <c r="F55" s="3"/>
      <c r="G55" s="8"/>
      <c r="H55" s="3"/>
      <c r="I55" s="3"/>
      <c r="J55" s="3"/>
    </row>
    <row r="56" spans="1:10" x14ac:dyDescent="0.55000000000000004">
      <c r="A56" s="8"/>
      <c r="B56" s="8"/>
      <c r="C56" s="8"/>
      <c r="D56" s="8"/>
      <c r="E56" s="8"/>
      <c r="F56" s="3"/>
      <c r="G56" s="8"/>
      <c r="H56" s="3"/>
      <c r="I56" s="3"/>
      <c r="J56" s="3"/>
    </row>
    <row r="57" spans="1:10" x14ac:dyDescent="0.55000000000000004">
      <c r="A57" s="8"/>
      <c r="B57" s="8"/>
      <c r="C57" s="8"/>
      <c r="D57" s="8"/>
      <c r="E57" s="8"/>
      <c r="F57" s="3"/>
      <c r="G57" s="8"/>
      <c r="H57" s="3"/>
      <c r="I57" s="3"/>
      <c r="J57" s="3"/>
    </row>
    <row r="58" spans="1:10" x14ac:dyDescent="0.55000000000000004">
      <c r="A58" s="8"/>
      <c r="B58" s="8"/>
      <c r="C58" s="8"/>
      <c r="D58" s="8"/>
      <c r="E58" s="8"/>
      <c r="F58" s="3"/>
      <c r="G58" s="8"/>
      <c r="H58" s="3"/>
      <c r="I58" s="3"/>
      <c r="J58" s="3"/>
    </row>
    <row r="59" spans="1:10" x14ac:dyDescent="0.55000000000000004">
      <c r="A59" s="8"/>
      <c r="B59" s="8"/>
      <c r="C59" s="8"/>
      <c r="D59" s="8"/>
      <c r="E59" s="8"/>
      <c r="F59" s="3"/>
      <c r="G59" s="8"/>
      <c r="H59" s="3"/>
      <c r="I59" s="3"/>
      <c r="J59" s="3"/>
    </row>
    <row r="60" spans="1:10" x14ac:dyDescent="0.55000000000000004">
      <c r="A60" s="8"/>
      <c r="B60" s="8"/>
      <c r="C60" s="8"/>
      <c r="D60" s="8"/>
      <c r="E60" s="8"/>
      <c r="F60" s="3"/>
      <c r="G60" s="8"/>
      <c r="H60" s="3"/>
      <c r="I60" s="3"/>
      <c r="J60" s="3"/>
    </row>
    <row r="61" spans="1:10" x14ac:dyDescent="0.55000000000000004">
      <c r="A61" s="8"/>
      <c r="B61" s="8"/>
      <c r="C61" s="8"/>
      <c r="D61" s="8"/>
      <c r="E61" s="8"/>
      <c r="F61" s="3"/>
      <c r="G61" s="8"/>
      <c r="H61" s="3"/>
      <c r="I61" s="3"/>
      <c r="J61" s="3"/>
    </row>
    <row r="62" spans="1:10" x14ac:dyDescent="0.55000000000000004">
      <c r="A62" s="8"/>
      <c r="B62" s="8"/>
      <c r="C62" s="8"/>
      <c r="D62" s="8"/>
      <c r="E62" s="8"/>
      <c r="F62" s="3"/>
      <c r="G62" s="8"/>
      <c r="H62" s="3"/>
      <c r="I62" s="3"/>
      <c r="J62" s="3"/>
    </row>
    <row r="63" spans="1:10" x14ac:dyDescent="0.55000000000000004">
      <c r="A63" s="8"/>
      <c r="B63" s="8"/>
      <c r="C63" s="8"/>
      <c r="D63" s="8"/>
      <c r="E63" s="8"/>
      <c r="F63" s="3"/>
      <c r="G63" s="8"/>
      <c r="H63" s="3"/>
      <c r="I63" s="3"/>
      <c r="J63" s="3"/>
    </row>
    <row r="64" spans="1:10" x14ac:dyDescent="0.55000000000000004">
      <c r="A64" s="8"/>
      <c r="B64" s="8"/>
      <c r="C64" s="8"/>
      <c r="D64" s="8"/>
      <c r="E64" s="8"/>
      <c r="F64" s="3"/>
      <c r="G64" s="8"/>
      <c r="H64" s="3"/>
      <c r="I64" s="3"/>
      <c r="J64" s="3"/>
    </row>
    <row r="65" spans="1:10" x14ac:dyDescent="0.55000000000000004">
      <c r="A65" s="8"/>
      <c r="B65" s="8"/>
      <c r="C65" s="8"/>
      <c r="D65" s="8"/>
      <c r="E65" s="8"/>
      <c r="F65" s="3"/>
      <c r="G65" s="8"/>
      <c r="H65" s="3"/>
      <c r="I65" s="3"/>
      <c r="J65" s="3"/>
    </row>
    <row r="66" spans="1:10" x14ac:dyDescent="0.55000000000000004">
      <c r="A66" s="8"/>
      <c r="B66" s="8"/>
      <c r="C66" s="8"/>
      <c r="D66" s="8"/>
      <c r="E66" s="8"/>
      <c r="F66" s="3"/>
      <c r="G66" s="8"/>
      <c r="H66" s="3"/>
      <c r="I66" s="3"/>
      <c r="J66" s="3"/>
    </row>
    <row r="67" spans="1:10" x14ac:dyDescent="0.55000000000000004">
      <c r="A67" s="8"/>
      <c r="B67" s="8"/>
      <c r="C67" s="8"/>
      <c r="D67" s="8"/>
      <c r="E67" s="8"/>
      <c r="F67" s="3"/>
      <c r="G67" s="8"/>
      <c r="H67" s="3"/>
      <c r="I67" s="3"/>
      <c r="J67" s="3"/>
    </row>
    <row r="68" spans="1:10" x14ac:dyDescent="0.55000000000000004">
      <c r="A68" s="8"/>
      <c r="B68" s="8"/>
      <c r="C68" s="8"/>
      <c r="D68" s="8"/>
      <c r="E68" s="8"/>
      <c r="F68" s="3"/>
      <c r="G68" s="8"/>
      <c r="H68" s="3"/>
      <c r="I68" s="3"/>
      <c r="J68" s="3"/>
    </row>
  </sheetData>
  <pageMargins left="0.7" right="0.7" top="0.75" bottom="0.75" header="0.3" footer="0.3"/>
  <pageSetup fitToWidth="0" fitToHeight="0" orientation="landscape"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70"/>
  <sheetViews>
    <sheetView zoomScale="80" zoomScaleNormal="80" workbookViewId="0">
      <pane ySplit="6" topLeftCell="A18" activePane="bottomLeft" state="frozen"/>
      <selection pane="bottomLeft" activeCell="C22" sqref="C22"/>
    </sheetView>
  </sheetViews>
  <sheetFormatPr defaultColWidth="8.7890625" defaultRowHeight="14.4" x14ac:dyDescent="0.55000000000000004"/>
  <cols>
    <col min="1" max="1" width="20.5234375" style="1" customWidth="1"/>
    <col min="2" max="2" width="20.734375" style="1" customWidth="1"/>
    <col min="3" max="3" width="49.7890625" style="1" customWidth="1"/>
    <col min="4" max="4" width="15.7890625" style="1" customWidth="1"/>
    <col min="5" max="5" width="17" style="1" customWidth="1"/>
    <col min="6" max="6" width="12.26171875" customWidth="1"/>
    <col min="7" max="7" width="14.15625" style="1" hidden="1" customWidth="1"/>
    <col min="8" max="8" width="12.15625" customWidth="1"/>
    <col min="9" max="9" width="23.15625" bestFit="1" customWidth="1"/>
    <col min="10" max="10" width="17" customWidth="1"/>
    <col min="11" max="11" width="24.47265625" customWidth="1"/>
  </cols>
  <sheetData>
    <row r="1" spans="1:38" ht="28.8" x14ac:dyDescent="0.55000000000000004">
      <c r="A1" s="10" t="s">
        <v>3</v>
      </c>
      <c r="B1" s="7" t="s">
        <v>4</v>
      </c>
      <c r="C1" s="2"/>
      <c r="D1" s="10" t="s">
        <v>73</v>
      </c>
      <c r="E1" s="7"/>
      <c r="F1" s="6"/>
      <c r="H1" s="6"/>
      <c r="I1" s="6"/>
      <c r="J1" s="6"/>
    </row>
    <row r="2" spans="1:38" x14ac:dyDescent="0.55000000000000004">
      <c r="A2" s="2"/>
      <c r="B2" s="2"/>
      <c r="C2" s="2"/>
      <c r="D2" s="2"/>
      <c r="E2" s="2"/>
      <c r="F2" s="6"/>
      <c r="H2" s="6"/>
      <c r="I2" s="6"/>
      <c r="J2" s="6"/>
    </row>
    <row r="3" spans="1:38" x14ac:dyDescent="0.55000000000000004">
      <c r="A3" s="7"/>
      <c r="B3" s="2"/>
      <c r="C3" s="2"/>
      <c r="D3" s="2"/>
      <c r="E3" s="2"/>
      <c r="F3" s="6"/>
      <c r="G3" s="2"/>
      <c r="H3" s="6"/>
      <c r="I3" s="6"/>
      <c r="J3" s="6"/>
    </row>
    <row r="4" spans="1:38" x14ac:dyDescent="0.55000000000000004">
      <c r="A4" s="2"/>
      <c r="B4" s="2"/>
      <c r="C4" s="2"/>
      <c r="D4" s="2"/>
      <c r="E4" s="2"/>
      <c r="F4" s="6"/>
      <c r="G4" s="2"/>
      <c r="H4" s="6"/>
      <c r="I4" s="6"/>
      <c r="J4" s="6"/>
    </row>
    <row r="5" spans="1:38" ht="28.8" x14ac:dyDescent="0.55000000000000004">
      <c r="A5" s="10" t="s">
        <v>8</v>
      </c>
      <c r="B5" s="7" t="s">
        <v>74</v>
      </c>
      <c r="C5" s="2"/>
      <c r="D5" s="10" t="s">
        <v>72</v>
      </c>
      <c r="E5" s="7"/>
      <c r="F5" s="6"/>
      <c r="H5" s="6"/>
      <c r="I5" s="6"/>
      <c r="J5" s="6"/>
    </row>
    <row r="6" spans="1:38" s="5" customFormat="1" ht="42" customHeight="1" x14ac:dyDescent="0.7">
      <c r="A6" s="4" t="s">
        <v>42</v>
      </c>
      <c r="B6" s="4" t="s">
        <v>0</v>
      </c>
      <c r="C6" s="4" t="s">
        <v>43</v>
      </c>
      <c r="D6" s="4" t="s">
        <v>1</v>
      </c>
      <c r="E6" s="4" t="s">
        <v>2</v>
      </c>
      <c r="F6" s="6"/>
      <c r="H6" s="9" t="s">
        <v>76</v>
      </c>
      <c r="I6" s="11">
        <f>SUM(D42/E42)</f>
        <v>1</v>
      </c>
      <c r="J6" s="6"/>
      <c r="K6"/>
      <c r="L6"/>
      <c r="M6"/>
      <c r="N6"/>
      <c r="O6"/>
      <c r="P6"/>
      <c r="Q6"/>
      <c r="R6"/>
      <c r="S6"/>
      <c r="T6"/>
      <c r="U6"/>
      <c r="V6"/>
      <c r="W6"/>
      <c r="X6"/>
      <c r="Y6"/>
      <c r="Z6"/>
      <c r="AA6"/>
      <c r="AB6"/>
      <c r="AC6"/>
      <c r="AD6"/>
      <c r="AE6"/>
      <c r="AF6"/>
      <c r="AG6"/>
      <c r="AH6"/>
      <c r="AI6"/>
      <c r="AJ6"/>
      <c r="AK6"/>
      <c r="AL6"/>
    </row>
    <row r="7" spans="1:38" ht="73.5" customHeight="1" x14ac:dyDescent="0.6">
      <c r="A7" s="1" t="s">
        <v>77</v>
      </c>
      <c r="B7" s="1" t="s">
        <v>81</v>
      </c>
      <c r="C7" s="1" t="s">
        <v>82</v>
      </c>
      <c r="D7" s="1" t="s">
        <v>83</v>
      </c>
      <c r="E7" s="1" t="s">
        <v>83</v>
      </c>
      <c r="G7"/>
      <c r="H7" s="12"/>
      <c r="I7" s="3"/>
      <c r="J7" s="3"/>
    </row>
    <row r="8" spans="1:38" ht="44.25" customHeight="1" x14ac:dyDescent="0.7">
      <c r="A8" s="1" t="s">
        <v>77</v>
      </c>
      <c r="B8" s="1" t="s">
        <v>79</v>
      </c>
      <c r="C8" s="1" t="s">
        <v>78</v>
      </c>
      <c r="D8" s="1" t="s">
        <v>83</v>
      </c>
      <c r="E8" s="1" t="s">
        <v>83</v>
      </c>
      <c r="F8" s="3"/>
      <c r="G8" s="3"/>
      <c r="H8" s="12"/>
      <c r="I8" s="13"/>
      <c r="J8" s="3"/>
    </row>
    <row r="9" spans="1:38" ht="43.2" x14ac:dyDescent="0.55000000000000004">
      <c r="A9" s="1" t="s">
        <v>5</v>
      </c>
      <c r="B9" s="1" t="s">
        <v>6</v>
      </c>
      <c r="C9" s="1" t="s">
        <v>44</v>
      </c>
      <c r="D9" s="1">
        <v>3</v>
      </c>
      <c r="E9" s="1">
        <v>3</v>
      </c>
      <c r="F9" s="3"/>
      <c r="G9" s="3"/>
      <c r="H9" s="3"/>
      <c r="I9" s="3"/>
    </row>
    <row r="10" spans="1:38" ht="28.8" x14ac:dyDescent="0.55000000000000004">
      <c r="A10" s="1" t="s">
        <v>5</v>
      </c>
      <c r="B10" s="1" t="s">
        <v>7</v>
      </c>
      <c r="C10" s="1" t="s">
        <v>45</v>
      </c>
      <c r="D10" s="1">
        <v>3</v>
      </c>
      <c r="E10" s="1">
        <v>3</v>
      </c>
      <c r="F10" s="3"/>
      <c r="G10" s="3"/>
      <c r="H10" s="3"/>
      <c r="I10" s="3"/>
      <c r="J10" s="3"/>
    </row>
    <row r="11" spans="1:38" ht="28.8" x14ac:dyDescent="0.55000000000000004">
      <c r="A11" s="1" t="s">
        <v>5</v>
      </c>
      <c r="B11" s="1" t="s">
        <v>9</v>
      </c>
      <c r="C11" s="1" t="s">
        <v>80</v>
      </c>
      <c r="D11" s="1">
        <v>3</v>
      </c>
      <c r="E11" s="1">
        <v>3</v>
      </c>
      <c r="F11" s="3"/>
      <c r="G11" s="3"/>
      <c r="H11" s="3"/>
      <c r="I11" s="3"/>
    </row>
    <row r="12" spans="1:38" ht="28.8" x14ac:dyDescent="0.55000000000000004">
      <c r="A12" s="1" t="s">
        <v>75</v>
      </c>
      <c r="B12" s="1" t="s">
        <v>10</v>
      </c>
      <c r="C12" s="1" t="s">
        <v>47</v>
      </c>
      <c r="D12" s="1">
        <v>3</v>
      </c>
      <c r="E12" s="1">
        <v>3</v>
      </c>
      <c r="F12" s="8"/>
      <c r="G12" s="3"/>
      <c r="H12" s="3"/>
      <c r="I12" s="3"/>
      <c r="J12" s="3"/>
    </row>
    <row r="13" spans="1:38" ht="28.8" x14ac:dyDescent="0.55000000000000004">
      <c r="A13" s="1" t="s">
        <v>75</v>
      </c>
      <c r="B13" s="1" t="s">
        <v>11</v>
      </c>
      <c r="C13" s="1" t="s">
        <v>48</v>
      </c>
      <c r="D13" s="1">
        <v>3</v>
      </c>
      <c r="E13" s="1">
        <v>3</v>
      </c>
      <c r="F13" s="8"/>
      <c r="G13" s="3"/>
      <c r="H13" s="8"/>
      <c r="I13" s="3"/>
      <c r="J13" s="3"/>
    </row>
    <row r="14" spans="1:38" ht="43.2" x14ac:dyDescent="0.55000000000000004">
      <c r="A14" s="1" t="s">
        <v>75</v>
      </c>
      <c r="B14" s="1" t="s">
        <v>12</v>
      </c>
      <c r="C14" s="1" t="s">
        <v>49</v>
      </c>
      <c r="D14" s="1">
        <v>3</v>
      </c>
      <c r="E14" s="1">
        <v>3</v>
      </c>
      <c r="F14" s="8"/>
      <c r="G14" s="3"/>
      <c r="H14" s="3"/>
      <c r="I14" s="3"/>
      <c r="J14" s="3"/>
    </row>
    <row r="15" spans="1:38" x14ac:dyDescent="0.55000000000000004">
      <c r="A15" s="1" t="s">
        <v>75</v>
      </c>
      <c r="B15" s="1" t="s">
        <v>13</v>
      </c>
      <c r="C15" s="1" t="s">
        <v>50</v>
      </c>
      <c r="D15" s="1">
        <v>3</v>
      </c>
      <c r="E15" s="1">
        <v>3</v>
      </c>
      <c r="F15" s="8"/>
      <c r="G15" s="3"/>
      <c r="H15" s="3"/>
      <c r="I15" s="3"/>
      <c r="J15" s="3"/>
    </row>
    <row r="16" spans="1:38" ht="28.8" x14ac:dyDescent="0.55000000000000004">
      <c r="A16" s="1" t="s">
        <v>75</v>
      </c>
      <c r="B16" s="1" t="s">
        <v>14</v>
      </c>
      <c r="C16" s="1" t="s">
        <v>51</v>
      </c>
      <c r="D16" s="1">
        <v>3</v>
      </c>
      <c r="E16" s="1">
        <v>3</v>
      </c>
      <c r="F16" s="8"/>
      <c r="G16" s="3"/>
      <c r="H16" s="3"/>
      <c r="I16" s="3"/>
      <c r="J16" s="3"/>
    </row>
    <row r="17" spans="1:10" ht="43.2" x14ac:dyDescent="0.55000000000000004">
      <c r="A17" s="1" t="s">
        <v>75</v>
      </c>
      <c r="B17" s="1" t="s">
        <v>15</v>
      </c>
      <c r="C17" s="1" t="s">
        <v>52</v>
      </c>
      <c r="D17" s="1">
        <v>4</v>
      </c>
      <c r="E17" s="1">
        <v>4</v>
      </c>
      <c r="F17" s="8"/>
      <c r="G17" s="3"/>
      <c r="H17" s="3"/>
      <c r="I17" s="3"/>
      <c r="J17" s="3"/>
    </row>
    <row r="18" spans="1:10" ht="28.8" x14ac:dyDescent="0.55000000000000004">
      <c r="A18" s="1" t="s">
        <v>16</v>
      </c>
      <c r="B18" s="1" t="s">
        <v>17</v>
      </c>
      <c r="C18" s="1" t="s">
        <v>53</v>
      </c>
      <c r="D18" s="1">
        <v>3</v>
      </c>
      <c r="E18" s="1">
        <v>3</v>
      </c>
      <c r="F18" s="8"/>
      <c r="G18" s="3"/>
      <c r="H18" s="3"/>
      <c r="I18" s="3"/>
      <c r="J18" s="3"/>
    </row>
    <row r="19" spans="1:10" ht="28.8" x14ac:dyDescent="0.55000000000000004">
      <c r="A19" s="1" t="s">
        <v>16</v>
      </c>
      <c r="B19" s="1" t="s">
        <v>18</v>
      </c>
      <c r="C19" s="1" t="s">
        <v>54</v>
      </c>
      <c r="D19" s="1">
        <v>3</v>
      </c>
      <c r="E19" s="1">
        <v>3</v>
      </c>
      <c r="F19" s="8"/>
      <c r="G19" s="3"/>
      <c r="H19" s="3"/>
      <c r="I19" s="3"/>
      <c r="J19" s="3"/>
    </row>
    <row r="20" spans="1:10" ht="28.8" x14ac:dyDescent="0.55000000000000004">
      <c r="A20" s="1" t="s">
        <v>19</v>
      </c>
      <c r="B20" s="1" t="s">
        <v>9</v>
      </c>
      <c r="C20" s="1" t="s">
        <v>55</v>
      </c>
      <c r="D20" s="1">
        <v>3</v>
      </c>
      <c r="E20" s="1">
        <v>3</v>
      </c>
      <c r="F20" s="8"/>
      <c r="G20" s="3"/>
      <c r="H20" s="3"/>
      <c r="I20" s="3"/>
      <c r="J20" s="3"/>
    </row>
    <row r="21" spans="1:10" ht="57.6" x14ac:dyDescent="0.55000000000000004">
      <c r="A21" s="1" t="s">
        <v>19</v>
      </c>
      <c r="B21" s="1" t="s">
        <v>20</v>
      </c>
      <c r="C21" s="1" t="s">
        <v>56</v>
      </c>
      <c r="D21" s="1">
        <v>3</v>
      </c>
      <c r="E21" s="1">
        <v>3</v>
      </c>
      <c r="F21" s="8"/>
      <c r="G21" s="3"/>
      <c r="H21" s="3"/>
      <c r="I21" s="3"/>
      <c r="J21" s="3"/>
    </row>
    <row r="22" spans="1:10" ht="43.2" x14ac:dyDescent="0.55000000000000004">
      <c r="A22" s="1" t="s">
        <v>19</v>
      </c>
      <c r="B22" s="1" t="s">
        <v>21</v>
      </c>
      <c r="C22" s="1" t="s">
        <v>57</v>
      </c>
      <c r="D22" s="1">
        <v>3</v>
      </c>
      <c r="E22" s="1">
        <v>3</v>
      </c>
      <c r="F22" s="8"/>
      <c r="G22" s="3"/>
      <c r="H22" s="3"/>
      <c r="I22" s="3"/>
      <c r="J22" s="3"/>
    </row>
    <row r="23" spans="1:10" ht="57.6" x14ac:dyDescent="0.55000000000000004">
      <c r="A23" s="1" t="s">
        <v>19</v>
      </c>
      <c r="B23" s="1" t="s">
        <v>22</v>
      </c>
      <c r="C23" s="1" t="s">
        <v>58</v>
      </c>
      <c r="D23" s="1">
        <v>3</v>
      </c>
      <c r="E23" s="1">
        <v>3</v>
      </c>
      <c r="F23" s="8"/>
      <c r="G23" s="3"/>
      <c r="H23" s="3"/>
      <c r="I23" s="3"/>
      <c r="J23" s="3"/>
    </row>
    <row r="24" spans="1:10" ht="28.8" x14ac:dyDescent="0.55000000000000004">
      <c r="A24" s="1" t="s">
        <v>23</v>
      </c>
      <c r="B24" s="1" t="s">
        <v>24</v>
      </c>
      <c r="C24" s="1" t="s">
        <v>59</v>
      </c>
      <c r="D24" s="1">
        <v>3</v>
      </c>
      <c r="E24" s="1">
        <v>3</v>
      </c>
      <c r="F24" s="8"/>
      <c r="G24" s="3"/>
      <c r="H24" s="3"/>
      <c r="I24" s="3"/>
      <c r="J24" s="3"/>
    </row>
    <row r="25" spans="1:10" ht="72" x14ac:dyDescent="0.55000000000000004">
      <c r="A25" s="1" t="s">
        <v>23</v>
      </c>
      <c r="B25" s="1" t="s">
        <v>25</v>
      </c>
      <c r="C25" s="1" t="s">
        <v>60</v>
      </c>
      <c r="D25" s="1">
        <v>3</v>
      </c>
      <c r="E25" s="1">
        <v>3</v>
      </c>
      <c r="F25" s="8"/>
      <c r="G25" s="3"/>
      <c r="H25" s="3"/>
      <c r="I25" s="3"/>
      <c r="J25" s="3"/>
    </row>
    <row r="26" spans="1:10" ht="57.6" x14ac:dyDescent="0.55000000000000004">
      <c r="A26" s="1" t="s">
        <v>23</v>
      </c>
      <c r="B26" s="1" t="s">
        <v>26</v>
      </c>
      <c r="C26" s="1" t="s">
        <v>61</v>
      </c>
      <c r="D26" s="1">
        <v>3</v>
      </c>
      <c r="E26" s="1">
        <v>3</v>
      </c>
      <c r="F26" s="8"/>
      <c r="G26" s="3"/>
      <c r="H26" s="3"/>
      <c r="I26" s="3"/>
      <c r="J26" s="3"/>
    </row>
    <row r="27" spans="1:10" ht="28.8" x14ac:dyDescent="0.55000000000000004">
      <c r="A27" s="1" t="s">
        <v>23</v>
      </c>
      <c r="B27" s="1" t="s">
        <v>27</v>
      </c>
      <c r="C27" s="1" t="s">
        <v>62</v>
      </c>
      <c r="D27" s="1">
        <v>3</v>
      </c>
      <c r="E27" s="1">
        <v>3</v>
      </c>
      <c r="F27" s="8"/>
      <c r="G27" s="3"/>
      <c r="H27" s="3"/>
      <c r="I27" s="3"/>
      <c r="J27" s="3"/>
    </row>
    <row r="28" spans="1:10" ht="28.8" x14ac:dyDescent="0.55000000000000004">
      <c r="A28" s="1" t="s">
        <v>23</v>
      </c>
      <c r="B28" s="1" t="s">
        <v>28</v>
      </c>
      <c r="C28" s="1" t="s">
        <v>63</v>
      </c>
      <c r="D28" s="1">
        <v>3</v>
      </c>
      <c r="E28" s="1">
        <v>3</v>
      </c>
      <c r="F28" s="8"/>
      <c r="G28" s="3"/>
      <c r="H28" s="3"/>
      <c r="I28" s="3"/>
      <c r="J28" s="3"/>
    </row>
    <row r="29" spans="1:10" ht="43.2" x14ac:dyDescent="0.55000000000000004">
      <c r="A29" s="1" t="s">
        <v>23</v>
      </c>
      <c r="B29" s="1" t="s">
        <v>29</v>
      </c>
      <c r="C29" s="1" t="s">
        <v>64</v>
      </c>
      <c r="D29" s="1">
        <v>3</v>
      </c>
      <c r="E29" s="1">
        <v>3</v>
      </c>
      <c r="F29" s="8"/>
      <c r="G29" s="3"/>
      <c r="H29" s="3"/>
      <c r="I29" s="3"/>
      <c r="J29" s="3"/>
    </row>
    <row r="30" spans="1:10" ht="43.2" x14ac:dyDescent="0.55000000000000004">
      <c r="A30" s="1" t="s">
        <v>30</v>
      </c>
      <c r="B30" s="1" t="s">
        <v>31</v>
      </c>
      <c r="C30" s="1" t="s">
        <v>65</v>
      </c>
      <c r="D30" s="1">
        <v>3</v>
      </c>
      <c r="E30" s="1">
        <v>3</v>
      </c>
      <c r="F30" s="8"/>
      <c r="G30" s="3"/>
      <c r="H30" s="3"/>
      <c r="I30" s="3"/>
      <c r="J30" s="3"/>
    </row>
    <row r="31" spans="1:10" ht="28.8" x14ac:dyDescent="0.55000000000000004">
      <c r="A31" s="1" t="s">
        <v>30</v>
      </c>
      <c r="B31" s="1" t="s">
        <v>32</v>
      </c>
      <c r="C31" s="1" t="s">
        <v>54</v>
      </c>
      <c r="D31" s="1">
        <v>3</v>
      </c>
      <c r="E31" s="1">
        <v>3</v>
      </c>
      <c r="F31" s="8"/>
      <c r="G31" s="3"/>
      <c r="H31" s="3"/>
      <c r="I31" s="3"/>
      <c r="J31" s="3"/>
    </row>
    <row r="32" spans="1:10" ht="43.2" x14ac:dyDescent="0.55000000000000004">
      <c r="A32" s="1" t="s">
        <v>30</v>
      </c>
      <c r="B32" s="1" t="s">
        <v>33</v>
      </c>
      <c r="C32" s="1" t="s">
        <v>66</v>
      </c>
      <c r="D32" s="1">
        <v>3</v>
      </c>
      <c r="E32" s="1">
        <v>3</v>
      </c>
      <c r="F32" s="8"/>
      <c r="G32" s="3"/>
      <c r="H32" s="3"/>
      <c r="I32" s="3"/>
      <c r="J32" s="3"/>
    </row>
    <row r="33" spans="1:10" ht="28.8" x14ac:dyDescent="0.55000000000000004">
      <c r="A33" s="1" t="s">
        <v>30</v>
      </c>
      <c r="B33" s="1" t="s">
        <v>34</v>
      </c>
      <c r="C33" s="1" t="s">
        <v>59</v>
      </c>
      <c r="D33" s="1">
        <v>3</v>
      </c>
      <c r="E33" s="1">
        <v>3</v>
      </c>
      <c r="F33" s="8"/>
      <c r="G33" s="3"/>
      <c r="H33" s="3"/>
      <c r="I33" s="3"/>
      <c r="J33" s="3"/>
    </row>
    <row r="34" spans="1:10" ht="57.6" x14ac:dyDescent="0.55000000000000004">
      <c r="A34" s="1" t="s">
        <v>30</v>
      </c>
      <c r="B34" s="1" t="s">
        <v>35</v>
      </c>
      <c r="C34" s="1" t="s">
        <v>67</v>
      </c>
      <c r="D34" s="1">
        <v>3</v>
      </c>
      <c r="E34" s="1">
        <v>3</v>
      </c>
      <c r="F34" s="8"/>
      <c r="G34" s="3"/>
      <c r="H34" s="3"/>
      <c r="I34" s="3"/>
      <c r="J34" s="3"/>
    </row>
    <row r="35" spans="1:10" ht="72" x14ac:dyDescent="0.55000000000000004">
      <c r="A35" s="1" t="s">
        <v>30</v>
      </c>
      <c r="B35" s="1" t="s">
        <v>36</v>
      </c>
      <c r="C35" s="1" t="s">
        <v>68</v>
      </c>
      <c r="D35" s="1">
        <v>3</v>
      </c>
      <c r="E35" s="1">
        <v>3</v>
      </c>
      <c r="F35" s="8"/>
      <c r="G35" s="3"/>
      <c r="H35" s="3"/>
      <c r="I35" s="3"/>
      <c r="J35" s="3"/>
    </row>
    <row r="36" spans="1:10" x14ac:dyDescent="0.55000000000000004">
      <c r="A36" s="1" t="s">
        <v>30</v>
      </c>
      <c r="B36" s="1" t="s">
        <v>37</v>
      </c>
      <c r="C36" s="1" t="s">
        <v>50</v>
      </c>
      <c r="D36" s="1">
        <v>3</v>
      </c>
      <c r="E36" s="1">
        <v>3</v>
      </c>
      <c r="F36" s="8"/>
      <c r="G36" s="3"/>
      <c r="H36" s="3"/>
      <c r="I36" s="3"/>
      <c r="J36" s="3"/>
    </row>
    <row r="37" spans="1:10" ht="28.8" x14ac:dyDescent="0.55000000000000004">
      <c r="A37" s="1" t="s">
        <v>30</v>
      </c>
      <c r="B37" s="1" t="s">
        <v>9</v>
      </c>
      <c r="C37" s="1" t="s">
        <v>46</v>
      </c>
      <c r="D37" s="1">
        <v>3</v>
      </c>
      <c r="E37" s="1">
        <v>3</v>
      </c>
      <c r="F37" s="8"/>
      <c r="G37" s="3"/>
      <c r="H37" s="3"/>
      <c r="I37" s="3"/>
      <c r="J37" s="3"/>
    </row>
    <row r="38" spans="1:10" ht="28.8" x14ac:dyDescent="0.55000000000000004">
      <c r="A38" s="1" t="s">
        <v>38</v>
      </c>
      <c r="B38" s="1" t="s">
        <v>39</v>
      </c>
      <c r="C38" s="1" t="s">
        <v>69</v>
      </c>
      <c r="D38" s="1">
        <v>3</v>
      </c>
      <c r="E38" s="1">
        <v>3</v>
      </c>
      <c r="F38" s="8"/>
      <c r="G38" s="3"/>
      <c r="H38" s="3"/>
      <c r="I38" s="3"/>
      <c r="J38" s="3"/>
    </row>
    <row r="39" spans="1:10" ht="28.8" x14ac:dyDescent="0.55000000000000004">
      <c r="A39" s="1" t="s">
        <v>38</v>
      </c>
      <c r="B39" s="1" t="s">
        <v>40</v>
      </c>
      <c r="C39" s="1" t="s">
        <v>70</v>
      </c>
      <c r="D39" s="1">
        <v>3</v>
      </c>
      <c r="E39" s="1">
        <v>3</v>
      </c>
      <c r="F39" s="8"/>
      <c r="G39" s="3"/>
      <c r="H39" s="3"/>
      <c r="I39" s="3"/>
      <c r="J39" s="3"/>
    </row>
    <row r="40" spans="1:10" x14ac:dyDescent="0.55000000000000004">
      <c r="A40" s="1" t="s">
        <v>38</v>
      </c>
      <c r="B40" s="1" t="s">
        <v>9</v>
      </c>
      <c r="C40" s="1" t="s">
        <v>71</v>
      </c>
      <c r="D40" s="1">
        <v>3</v>
      </c>
      <c r="E40" s="1">
        <v>3</v>
      </c>
      <c r="F40" s="8"/>
      <c r="G40" s="3"/>
      <c r="H40" s="3"/>
      <c r="I40" s="3"/>
      <c r="J40" s="3"/>
    </row>
    <row r="41" spans="1:10" x14ac:dyDescent="0.55000000000000004">
      <c r="A41" s="1" t="s">
        <v>38</v>
      </c>
      <c r="B41" s="1" t="s">
        <v>13</v>
      </c>
      <c r="C41" s="1" t="s">
        <v>50</v>
      </c>
      <c r="D41" s="1">
        <v>3</v>
      </c>
      <c r="E41" s="1">
        <v>3</v>
      </c>
      <c r="F41" s="8"/>
      <c r="G41" s="3"/>
      <c r="H41" s="3"/>
      <c r="I41" s="3"/>
      <c r="J41" s="3"/>
    </row>
    <row r="42" spans="1:10" x14ac:dyDescent="0.55000000000000004">
      <c r="A42" s="1" t="s">
        <v>41</v>
      </c>
      <c r="D42" s="1">
        <f>SUBTOTAL(109,Table5[Total Points Earned])</f>
        <v>100</v>
      </c>
      <c r="E42" s="1">
        <f>SUBTOTAL(109,Table5[category opportunity])</f>
        <v>100</v>
      </c>
      <c r="F42" s="8"/>
      <c r="G42" s="3"/>
      <c r="H42" s="3"/>
      <c r="I42" s="3"/>
      <c r="J42" s="3"/>
    </row>
    <row r="43" spans="1:10" x14ac:dyDescent="0.55000000000000004">
      <c r="A43" s="8"/>
      <c r="B43" s="8"/>
      <c r="C43" s="8"/>
      <c r="D43" s="8"/>
      <c r="E43" s="8"/>
      <c r="F43" s="3"/>
      <c r="G43" s="8"/>
      <c r="H43" s="3"/>
      <c r="I43" s="3"/>
      <c r="J43" s="3"/>
    </row>
    <row r="44" spans="1:10" x14ac:dyDescent="0.55000000000000004">
      <c r="A44" s="8"/>
      <c r="B44" s="8"/>
      <c r="C44" s="8"/>
      <c r="D44" s="8"/>
      <c r="E44" s="8"/>
      <c r="F44" s="3"/>
      <c r="G44" s="8"/>
      <c r="H44" s="3"/>
      <c r="I44" s="3"/>
      <c r="J44" s="3"/>
    </row>
    <row r="45" spans="1:10" x14ac:dyDescent="0.55000000000000004">
      <c r="A45" s="8"/>
      <c r="B45" s="8"/>
      <c r="C45" s="8"/>
      <c r="D45" s="8"/>
      <c r="E45" s="8"/>
      <c r="F45" s="3"/>
      <c r="G45" s="8"/>
      <c r="H45" s="3"/>
      <c r="I45" s="3"/>
      <c r="J45" s="3"/>
    </row>
    <row r="46" spans="1:10" x14ac:dyDescent="0.55000000000000004">
      <c r="A46" s="8"/>
      <c r="B46" s="8"/>
      <c r="C46" s="8"/>
      <c r="D46" s="8"/>
      <c r="E46" s="8"/>
      <c r="F46" s="3"/>
      <c r="G46" s="8"/>
      <c r="H46" s="3"/>
      <c r="I46" s="3"/>
      <c r="J46" s="3"/>
    </row>
    <row r="47" spans="1:10" x14ac:dyDescent="0.55000000000000004">
      <c r="A47" s="8"/>
      <c r="B47" s="8"/>
      <c r="C47" s="8"/>
      <c r="D47" s="8"/>
      <c r="E47" s="8"/>
      <c r="F47" s="3"/>
      <c r="G47" s="8"/>
      <c r="H47" s="3"/>
      <c r="I47" s="3"/>
      <c r="J47" s="3"/>
    </row>
    <row r="48" spans="1:10" x14ac:dyDescent="0.55000000000000004">
      <c r="A48" s="8"/>
      <c r="B48" s="8"/>
      <c r="C48" s="8"/>
      <c r="D48" s="8"/>
      <c r="E48" s="8"/>
      <c r="F48" s="3"/>
      <c r="G48" s="8"/>
      <c r="H48" s="3"/>
      <c r="I48" s="3"/>
      <c r="J48" s="3"/>
    </row>
    <row r="49" spans="1:10" x14ac:dyDescent="0.55000000000000004">
      <c r="A49" s="8"/>
      <c r="B49" s="8"/>
      <c r="C49" s="8"/>
      <c r="D49" s="8"/>
      <c r="E49" s="8"/>
      <c r="F49" s="3"/>
      <c r="G49" s="8"/>
      <c r="H49" s="3"/>
      <c r="I49" s="3"/>
      <c r="J49" s="3"/>
    </row>
    <row r="50" spans="1:10" x14ac:dyDescent="0.55000000000000004">
      <c r="A50" s="8"/>
      <c r="B50" s="8"/>
      <c r="C50" s="8"/>
      <c r="D50" s="8"/>
      <c r="E50" s="8"/>
      <c r="F50" s="3"/>
      <c r="G50" s="8"/>
      <c r="H50" s="3"/>
      <c r="I50" s="3"/>
      <c r="J50" s="3"/>
    </row>
    <row r="51" spans="1:10" x14ac:dyDescent="0.55000000000000004">
      <c r="A51" s="8"/>
      <c r="B51" s="8"/>
      <c r="C51" s="8"/>
      <c r="D51" s="8"/>
      <c r="E51" s="8"/>
      <c r="F51" s="3"/>
      <c r="G51" s="8"/>
      <c r="H51" s="3"/>
      <c r="I51" s="3"/>
      <c r="J51" s="3"/>
    </row>
    <row r="52" spans="1:10" x14ac:dyDescent="0.55000000000000004">
      <c r="A52" s="8"/>
      <c r="B52" s="8"/>
      <c r="C52" s="8"/>
      <c r="D52" s="8"/>
      <c r="E52" s="8"/>
      <c r="F52" s="3"/>
      <c r="G52" s="8"/>
      <c r="H52" s="3"/>
      <c r="I52" s="3"/>
      <c r="J52" s="3"/>
    </row>
    <row r="53" spans="1:10" x14ac:dyDescent="0.55000000000000004">
      <c r="A53" s="8"/>
      <c r="B53" s="8"/>
      <c r="C53" s="8"/>
      <c r="D53" s="8"/>
      <c r="E53" s="8"/>
      <c r="F53" s="3"/>
      <c r="G53" s="8"/>
      <c r="H53" s="3"/>
      <c r="I53" s="3"/>
      <c r="J53" s="3"/>
    </row>
    <row r="54" spans="1:10" x14ac:dyDescent="0.55000000000000004">
      <c r="A54" s="8"/>
      <c r="B54" s="8"/>
      <c r="C54" s="8"/>
      <c r="D54" s="8"/>
      <c r="E54" s="8"/>
      <c r="F54" s="3"/>
      <c r="G54" s="8"/>
      <c r="H54" s="3"/>
      <c r="I54" s="3"/>
      <c r="J54" s="3"/>
    </row>
    <row r="55" spans="1:10" x14ac:dyDescent="0.55000000000000004">
      <c r="A55" s="8"/>
      <c r="B55" s="8"/>
      <c r="C55" s="8"/>
      <c r="D55" s="8"/>
      <c r="E55" s="8"/>
      <c r="F55" s="3"/>
      <c r="G55" s="8"/>
      <c r="H55" s="3"/>
      <c r="I55" s="3"/>
      <c r="J55" s="3"/>
    </row>
    <row r="56" spans="1:10" x14ac:dyDescent="0.55000000000000004">
      <c r="A56" s="8"/>
      <c r="B56" s="8"/>
      <c r="C56" s="8"/>
      <c r="D56" s="8"/>
      <c r="E56" s="8"/>
      <c r="F56" s="3"/>
      <c r="G56" s="8"/>
      <c r="H56" s="3"/>
      <c r="I56" s="3"/>
      <c r="J56" s="3"/>
    </row>
    <row r="57" spans="1:10" x14ac:dyDescent="0.55000000000000004">
      <c r="A57" s="8"/>
      <c r="B57" s="8"/>
      <c r="C57" s="8"/>
      <c r="D57" s="8"/>
      <c r="E57" s="8"/>
      <c r="F57" s="3"/>
      <c r="G57" s="8"/>
      <c r="H57" s="3"/>
      <c r="I57" s="3"/>
      <c r="J57" s="3"/>
    </row>
    <row r="58" spans="1:10" x14ac:dyDescent="0.55000000000000004">
      <c r="A58" s="8"/>
      <c r="B58" s="8"/>
      <c r="C58" s="8"/>
      <c r="D58" s="8"/>
      <c r="E58" s="8"/>
      <c r="F58" s="3"/>
      <c r="G58" s="8"/>
      <c r="H58" s="3"/>
      <c r="I58" s="3"/>
      <c r="J58" s="3"/>
    </row>
    <row r="59" spans="1:10" x14ac:dyDescent="0.55000000000000004">
      <c r="A59" s="8"/>
      <c r="B59" s="8"/>
      <c r="C59" s="8"/>
      <c r="D59" s="8"/>
      <c r="E59" s="8"/>
      <c r="F59" s="3"/>
      <c r="G59" s="8"/>
      <c r="H59" s="3"/>
      <c r="I59" s="3"/>
      <c r="J59" s="3"/>
    </row>
    <row r="60" spans="1:10" x14ac:dyDescent="0.55000000000000004">
      <c r="A60" s="8"/>
      <c r="B60" s="8"/>
      <c r="C60" s="8"/>
      <c r="D60" s="8"/>
      <c r="E60" s="8"/>
      <c r="F60" s="3"/>
      <c r="G60" s="8"/>
      <c r="H60" s="3"/>
      <c r="I60" s="3"/>
      <c r="J60" s="3"/>
    </row>
    <row r="61" spans="1:10" x14ac:dyDescent="0.55000000000000004">
      <c r="A61" s="8"/>
      <c r="B61" s="8"/>
      <c r="C61" s="8"/>
      <c r="D61" s="8"/>
      <c r="E61" s="8"/>
      <c r="F61" s="3"/>
      <c r="G61" s="8"/>
      <c r="H61" s="3"/>
      <c r="I61" s="3"/>
      <c r="J61" s="3"/>
    </row>
    <row r="62" spans="1:10" x14ac:dyDescent="0.55000000000000004">
      <c r="A62" s="8"/>
      <c r="B62" s="8"/>
      <c r="C62" s="8"/>
      <c r="D62" s="8"/>
      <c r="E62" s="8"/>
      <c r="F62" s="3"/>
      <c r="G62" s="8"/>
      <c r="H62" s="3"/>
      <c r="I62" s="3"/>
      <c r="J62" s="3"/>
    </row>
    <row r="63" spans="1:10" x14ac:dyDescent="0.55000000000000004">
      <c r="A63" s="8"/>
      <c r="B63" s="8"/>
      <c r="C63" s="8"/>
      <c r="D63" s="8"/>
      <c r="E63" s="8"/>
      <c r="F63" s="3"/>
      <c r="G63" s="8"/>
      <c r="H63" s="3"/>
      <c r="I63" s="3"/>
      <c r="J63" s="3"/>
    </row>
    <row r="64" spans="1:10" x14ac:dyDescent="0.55000000000000004">
      <c r="A64" s="8"/>
      <c r="B64" s="8"/>
      <c r="C64" s="8"/>
      <c r="D64" s="8"/>
      <c r="E64" s="8"/>
      <c r="F64" s="3"/>
      <c r="G64" s="8"/>
      <c r="H64" s="3"/>
      <c r="I64" s="3"/>
      <c r="J64" s="3"/>
    </row>
    <row r="65" spans="1:10" x14ac:dyDescent="0.55000000000000004">
      <c r="A65" s="8"/>
      <c r="B65" s="8"/>
      <c r="C65" s="8"/>
      <c r="D65" s="8"/>
      <c r="E65" s="8"/>
      <c r="F65" s="3"/>
      <c r="G65" s="8"/>
      <c r="H65" s="3"/>
      <c r="I65" s="3"/>
      <c r="J65" s="3"/>
    </row>
    <row r="66" spans="1:10" x14ac:dyDescent="0.55000000000000004">
      <c r="A66" s="8"/>
      <c r="B66" s="8"/>
      <c r="C66" s="8"/>
      <c r="D66" s="8"/>
      <c r="E66" s="8"/>
      <c r="F66" s="3"/>
      <c r="G66" s="8"/>
      <c r="H66" s="3"/>
      <c r="I66" s="3"/>
      <c r="J66" s="3"/>
    </row>
    <row r="67" spans="1:10" x14ac:dyDescent="0.55000000000000004">
      <c r="A67" s="8"/>
      <c r="B67" s="8"/>
      <c r="C67" s="8"/>
      <c r="D67" s="8"/>
      <c r="E67" s="8"/>
      <c r="F67" s="3"/>
      <c r="G67" s="8"/>
      <c r="H67" s="3"/>
      <c r="I67" s="3"/>
      <c r="J67" s="3"/>
    </row>
    <row r="68" spans="1:10" x14ac:dyDescent="0.55000000000000004">
      <c r="A68" s="8"/>
      <c r="B68" s="8"/>
      <c r="C68" s="8"/>
      <c r="D68" s="8"/>
      <c r="E68" s="8"/>
      <c r="F68" s="3"/>
      <c r="G68" s="8"/>
      <c r="H68" s="3"/>
      <c r="I68" s="3"/>
      <c r="J68" s="3"/>
    </row>
    <row r="69" spans="1:10" x14ac:dyDescent="0.55000000000000004">
      <c r="A69" s="8"/>
      <c r="B69" s="8"/>
      <c r="C69" s="8"/>
      <c r="D69" s="8"/>
      <c r="E69" s="8"/>
      <c r="F69" s="3"/>
      <c r="G69" s="8"/>
      <c r="H69" s="3"/>
      <c r="I69" s="3"/>
      <c r="J69" s="3"/>
    </row>
    <row r="70" spans="1:10" x14ac:dyDescent="0.55000000000000004">
      <c r="A70" s="8"/>
      <c r="B70" s="8"/>
      <c r="C70" s="8"/>
      <c r="D70" s="8"/>
      <c r="E70" s="8"/>
      <c r="F70" s="3"/>
      <c r="G70" s="8"/>
      <c r="H70" s="3"/>
      <c r="I70" s="3"/>
      <c r="J70" s="3"/>
    </row>
  </sheetData>
  <phoneticPr fontId="2" type="noConversion"/>
  <pageMargins left="0.7" right="0.7" top="0.75" bottom="0.75" header="0.3" footer="0.3"/>
  <pageSetup fitToWidth="0" fitToHeight="0" orientation="landscape"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CF8E3B95FF8934B9780C70950BAC8E7" ma:contentTypeVersion="15" ma:contentTypeDescription="Create a new document." ma:contentTypeScope="" ma:versionID="beebf6771f8531f1b7dc88be48fdb73b">
  <xsd:schema xmlns:xsd="http://www.w3.org/2001/XMLSchema" xmlns:xs="http://www.w3.org/2001/XMLSchema" xmlns:p="http://schemas.microsoft.com/office/2006/metadata/properties" xmlns:ns2="4ac801cc-7b19-4f43-a7cd-003f27d5488b" xmlns:ns3="685f39cc-0c9c-4f68-8c20-cc9a87f26316" targetNamespace="http://schemas.microsoft.com/office/2006/metadata/properties" ma:root="true" ma:fieldsID="6f1a4d284804a9ade551f32a2e428eb3" ns2:_="" ns3:_="">
    <xsd:import namespace="4ac801cc-7b19-4f43-a7cd-003f27d5488b"/>
    <xsd:import namespace="685f39cc-0c9c-4f68-8c20-cc9a87f2631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element ref="ns2:MediaServiceSearchProperties" minOccurs="0"/>
                <xsd:element ref="ns2:SusieRobins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c801cc-7b19-4f43-a7cd-003f27d548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38948c3-8ace-4ef8-b701-5535767cb6e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SusieRobinson" ma:index="22" nillable="true" ma:displayName="Susie Robinson" ma:description="Competencies approved for AL/RCF" ma:format="Dropdown" ma:list="UserInfo" ma:SharePointGroup="0" ma:internalName="SusieRobinson">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85f39cc-0c9c-4f68-8c20-cc9a87f2631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39ebaa6a-8279-4b89-90e3-4df000827166}" ma:internalName="TaxCatchAll" ma:showField="CatchAllData" ma:web="685f39cc-0c9c-4f68-8c20-cc9a87f263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TaxCatchAll xmlns="685f39cc-0c9c-4f68-8c20-cc9a87f26316" xsi:nil="true"/>
    <lcf76f155ced4ddcb4097134ff3c332f xmlns="4ac801cc-7b19-4f43-a7cd-003f27d5488b">
      <Terms xmlns="http://schemas.microsoft.com/office/infopath/2007/PartnerControls"/>
    </lcf76f155ced4ddcb4097134ff3c332f>
    <SusieRobinson xmlns="4ac801cc-7b19-4f43-a7cd-003f27d5488b">
      <UserInfo>
        <DisplayName/>
        <AccountId xsi:nil="true"/>
        <AccountType/>
      </UserInfo>
    </SusieRobinson>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BEDD86A-DC15-4850-9484-B7EF74F3A9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c801cc-7b19-4f43-a7cd-003f27d5488b"/>
    <ds:schemaRef ds:uri="685f39cc-0c9c-4f68-8c20-cc9a87f263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142EAE9-F680-454D-B13C-27C66092CAB1}">
  <ds:schemaRefs>
    <ds:schemaRef ds:uri="http://schemas.microsoft.com/DataMashup"/>
  </ds:schemaRefs>
</ds:datastoreItem>
</file>

<file path=customXml/itemProps3.xml><?xml version="1.0" encoding="utf-8"?>
<ds:datastoreItem xmlns:ds="http://schemas.openxmlformats.org/officeDocument/2006/customXml" ds:itemID="{0887D620-845F-4401-B2A0-D719189ED5AB}">
  <ds:schemaRefs>
    <ds:schemaRef ds:uri="http://schemas.microsoft.com/office/2006/metadata/properties"/>
    <ds:schemaRef ds:uri="http://schemas.microsoft.com/office/infopath/2007/PartnerControls"/>
    <ds:schemaRef ds:uri="685f39cc-0c9c-4f68-8c20-cc9a87f26316"/>
    <ds:schemaRef ds:uri="4ac801cc-7b19-4f43-a7cd-003f27d5488b"/>
  </ds:schemaRefs>
</ds:datastoreItem>
</file>

<file path=customXml/itemProps4.xml><?xml version="1.0" encoding="utf-8"?>
<ds:datastoreItem xmlns:ds="http://schemas.openxmlformats.org/officeDocument/2006/customXml" ds:itemID="{BBA76819-F135-41A7-966C-252A644839C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Evaluator Audit 1</vt:lpstr>
      <vt:lpstr>Evaluator Audit 2</vt:lpstr>
      <vt:lpstr>Evaluator Audit 3</vt:lpstr>
      <vt:lpstr>key</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Joyce Teinpormpool</cp:lastModifiedBy>
  <cp:revision/>
  <dcterms:created xsi:type="dcterms:W3CDTF">2021-08-11T20:12:50Z</dcterms:created>
  <dcterms:modified xsi:type="dcterms:W3CDTF">2026-08-28T16:16:08Z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0x010100DCF8E3B95FF8934B9780C70950BAC8E7</vt:lpwstr>
  </property>
</Properties>
</file>